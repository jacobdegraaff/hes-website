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Verkoopprognose" sheetId="3" state="visible" r:id="rId3"/>
    <sheet xmlns:r="http://schemas.openxmlformats.org/officeDocument/2006/relationships" name="Cash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"/>
    <numFmt numFmtId="166" formatCode="EUR 0.00"/>
    <numFmt numFmtId="167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0F3D23"/>
      <sz val="14"/>
    </font>
    <font>
      <name val="Arial"/>
      <color rgb="00666666"/>
      <sz val="9"/>
    </font>
    <font>
      <name val="Arial"/>
      <color rgb="002F3437"/>
      <sz val="10"/>
    </font>
    <font>
      <name val="Arial"/>
      <b val="1"/>
      <color rgb="00FFFFFF"/>
      <sz val="11"/>
    </font>
    <font>
      <name val="Arial"/>
      <b val="1"/>
      <color rgb="000F3D23"/>
      <sz val="11"/>
    </font>
    <font>
      <name val="Arial"/>
      <b val="1"/>
      <color rgb="002F3437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color rgb="00999999"/>
      <sz val="8"/>
    </font>
  </fonts>
  <fills count="7">
    <fill>
      <patternFill/>
    </fill>
    <fill>
      <patternFill patternType="gray125"/>
    </fill>
    <fill>
      <patternFill patternType="solid">
        <fgColor rgb="000F3D23"/>
        <bgColor rgb="000F3D23"/>
      </patternFill>
    </fill>
    <fill>
      <patternFill patternType="solid">
        <fgColor rgb="00E8F5E9"/>
        <bgColor rgb="00E8F5E9"/>
      </patternFill>
    </fill>
    <fill>
      <patternFill patternType="solid">
        <fgColor rgb="00F0F0F0"/>
        <bgColor rgb="00F0F0F0"/>
      </patternFill>
    </fill>
    <fill>
      <patternFill patternType="solid">
        <fgColor rgb="00FFF2CC"/>
        <bgColor rgb="00FFF2CC"/>
      </patternFill>
    </fill>
    <fill>
      <patternFill patternType="solid">
        <fgColor rgb="00D5F5E3"/>
        <b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3" fillId="0" borderId="0" pivotButton="0" quotePrefix="0" xfId="0"/>
    <xf numFmtId="3" fontId="3" fillId="0" borderId="0" pivotButton="0" quotePrefix="0" xfId="0"/>
    <xf numFmtId="0" fontId="6" fillId="4" borderId="0" pivotButton="0" quotePrefix="0" xfId="0"/>
    <xf numFmtId="3" fontId="6" fillId="4" borderId="0" pivotButton="0" quotePrefix="0" xfId="0"/>
    <xf numFmtId="3" fontId="7" fillId="5" borderId="0" pivotButton="0" quotePrefix="0" xfId="0"/>
    <xf numFmtId="164" fontId="4" fillId="2" borderId="0" pivotButton="0" quotePrefix="0" xfId="0"/>
    <xf numFmtId="0" fontId="6" fillId="0" borderId="0" pivotButton="0" quotePrefix="0" xfId="0"/>
    <xf numFmtId="165" fontId="6" fillId="0" borderId="0" pivotButton="0" quotePrefix="0" xfId="0"/>
    <xf numFmtId="164" fontId="6" fillId="0" borderId="0" pivotButton="0" quotePrefix="0" xfId="0"/>
    <xf numFmtId="0" fontId="5" fillId="0" borderId="0" pivotButton="0" quotePrefix="0" xfId="0"/>
    <xf numFmtId="166" fontId="7" fillId="5" borderId="0" pivotButton="0" quotePrefix="0" xfId="0"/>
    <xf numFmtId="165" fontId="7" fillId="5" borderId="0" pivotButton="0" quotePrefix="0" xfId="0"/>
    <xf numFmtId="167" fontId="7" fillId="5" borderId="0" pivotButton="0" quotePrefix="0" xfId="0"/>
    <xf numFmtId="0" fontId="0" fillId="3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2" borderId="0" pivotButton="0" quotePrefix="0" xfId="0"/>
    <xf numFmtId="0" fontId="7" fillId="5" borderId="0" pivotButton="0" quotePrefix="0" xfId="0"/>
    <xf numFmtId="0" fontId="0" fillId="4" borderId="0" pivotButton="0" quotePrefix="0" xfId="0"/>
    <xf numFmtId="0" fontId="0" fillId="2" borderId="0" pivotButton="0" quotePrefix="0" xfId="0"/>
    <xf numFmtId="3" fontId="4" fillId="2" borderId="0" pivotButton="0" quotePrefix="0" xfId="0"/>
    <xf numFmtId="0" fontId="10" fillId="0" borderId="0" pivotButton="0" quotePrefix="0" xfId="0"/>
    <xf numFmtId="164" fontId="6" fillId="4" borderId="0" pivotButton="0" quotePrefix="0" xfId="0"/>
    <xf numFmtId="0" fontId="5" fillId="6" borderId="0" pivotButton="0" quotePrefix="0" xfId="0"/>
    <xf numFmtId="164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HES Budget 2026-2027</t>
        </is>
      </c>
    </row>
    <row r="2">
      <c r="A2" s="2" t="inlineStr">
        <is>
          <t>Hospitality Energy Solutions — 12-maanden prognose</t>
        </is>
      </c>
    </row>
    <row r="4">
      <c r="A4" s="3" t="inlineStr"/>
      <c r="B4" s="4" t="inlineStr">
        <is>
          <t>Aug '26</t>
        </is>
      </c>
      <c r="C4" s="4" t="inlineStr">
        <is>
          <t>Sep '26</t>
        </is>
      </c>
      <c r="D4" s="4" t="inlineStr">
        <is>
          <t>Okt '26</t>
        </is>
      </c>
      <c r="E4" s="4" t="inlineStr">
        <is>
          <t>Nov '26</t>
        </is>
      </c>
      <c r="F4" s="4" t="inlineStr">
        <is>
          <t>Dec '26</t>
        </is>
      </c>
      <c r="G4" s="4" t="inlineStr">
        <is>
          <t>Jan '27</t>
        </is>
      </c>
      <c r="H4" s="4" t="inlineStr">
        <is>
          <t>Feb '27</t>
        </is>
      </c>
      <c r="I4" s="4" t="inlineStr">
        <is>
          <t>Mrt '27</t>
        </is>
      </c>
      <c r="J4" s="4" t="inlineStr">
        <is>
          <t>Apr '27</t>
        </is>
      </c>
      <c r="K4" s="4" t="inlineStr">
        <is>
          <t>Mei '27</t>
        </is>
      </c>
      <c r="L4" s="4" t="inlineStr">
        <is>
          <t>Jun '27</t>
        </is>
      </c>
      <c r="M4" s="4" t="inlineStr">
        <is>
          <t>Jul '27</t>
        </is>
      </c>
    </row>
    <row r="5">
      <c r="A5" s="5" t="inlineStr">
        <is>
          <t>OMZET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Batterijsystemen (ESS)</t>
        </is>
      </c>
      <c r="B6" s="7">
        <f>H49*1</f>
        <v/>
      </c>
      <c r="C6" s="7">
        <f>H49*1</f>
        <v/>
      </c>
      <c r="D6" s="7">
        <f>H49*1</f>
        <v/>
      </c>
      <c r="E6" s="7">
        <f>H49*2</f>
        <v/>
      </c>
      <c r="F6" s="7">
        <f>H49*2</f>
        <v/>
      </c>
      <c r="G6" s="7">
        <f>H49*2</f>
        <v/>
      </c>
      <c r="H6" s="7">
        <f>H49*2</f>
        <v/>
      </c>
      <c r="I6" s="7">
        <f>H49*2</f>
        <v/>
      </c>
      <c r="J6" s="7">
        <f>H49*3</f>
        <v/>
      </c>
      <c r="K6" s="7">
        <f>H49*3</f>
        <v/>
      </c>
      <c r="L6" s="7">
        <f>H49*3</f>
        <v/>
      </c>
      <c r="M6" s="7">
        <f>H49*3</f>
        <v/>
      </c>
    </row>
    <row r="7">
      <c r="A7" s="6" t="inlineStr">
        <is>
          <t>AC Laadpalen</t>
        </is>
      </c>
      <c r="B7" s="7">
        <f>H50*4</f>
        <v/>
      </c>
      <c r="C7" s="7">
        <f>H50*5</f>
        <v/>
      </c>
      <c r="D7" s="7">
        <f>H50*6</f>
        <v/>
      </c>
      <c r="E7" s="7">
        <f>H50*7</f>
        <v/>
      </c>
      <c r="F7" s="7">
        <f>H50*8</f>
        <v/>
      </c>
      <c r="G7" s="7">
        <f>H50*9</f>
        <v/>
      </c>
      <c r="H7" s="7">
        <f>H50*10</f>
        <v/>
      </c>
      <c r="I7" s="7">
        <f>H50*10</f>
        <v/>
      </c>
      <c r="J7" s="7">
        <f>H50*12</f>
        <v/>
      </c>
      <c r="K7" s="7">
        <f>H50*12</f>
        <v/>
      </c>
      <c r="L7" s="7">
        <f>H50*14</f>
        <v/>
      </c>
      <c r="M7" s="7">
        <f>H50*14</f>
        <v/>
      </c>
    </row>
    <row r="8">
      <c r="A8" s="6" t="inlineStr">
        <is>
          <t>DC Snelladers</t>
        </is>
      </c>
      <c r="B8" s="7">
        <f>H51*0</f>
        <v/>
      </c>
      <c r="C8" s="7">
        <f>H51*1</f>
        <v/>
      </c>
      <c r="D8" s="7">
        <f>H51*0</f>
        <v/>
      </c>
      <c r="E8" s="7">
        <f>H51*1</f>
        <v/>
      </c>
      <c r="F8" s="7">
        <f>H51*0</f>
        <v/>
      </c>
      <c r="G8" s="7">
        <f>H51*1</f>
        <v/>
      </c>
      <c r="H8" s="7">
        <f>H51*1</f>
        <v/>
      </c>
      <c r="I8" s="7">
        <f>H51*1</f>
        <v/>
      </c>
      <c r="J8" s="7">
        <f>H51*1</f>
        <v/>
      </c>
      <c r="K8" s="7">
        <f>H51*2</f>
        <v/>
      </c>
      <c r="L8" s="7">
        <f>H51*1</f>
        <v/>
      </c>
      <c r="M8" s="7">
        <f>H51*2</f>
        <v/>
      </c>
    </row>
    <row r="9">
      <c r="A9" s="6" t="inlineStr">
        <is>
          <t>Laadopbrengst (EUR/kWh)</t>
        </is>
      </c>
      <c r="B9" s="7">
        <f>(B7+B8)*$H$54*$H$53</f>
        <v/>
      </c>
      <c r="C9" s="7">
        <f>(C7+C8)*$H$54*$H$53</f>
        <v/>
      </c>
      <c r="D9" s="7">
        <f>(D7+D8)*$H$54*$H$53</f>
        <v/>
      </c>
      <c r="E9" s="7">
        <f>(E7+E8)*$H$54*$H$53</f>
        <v/>
      </c>
      <c r="F9" s="7">
        <f>(F7+F8)*$H$54*$H$53</f>
        <v/>
      </c>
      <c r="G9" s="7">
        <f>(G7+G8)*$H$54*$H$53</f>
        <v/>
      </c>
      <c r="H9" s="7">
        <f>(H7+H8)*$H$54*$H$53</f>
        <v/>
      </c>
      <c r="I9" s="7">
        <f>(I7+I8)*$H$54*$H$53</f>
        <v/>
      </c>
      <c r="J9" s="7">
        <f>(J7+J8)*$H$54*$H$53</f>
        <v/>
      </c>
      <c r="K9" s="7">
        <f>(K7+K8)*$H$54*$H$53</f>
        <v/>
      </c>
      <c r="L9" s="7">
        <f>(L7+L8)*$H$54*$H$53</f>
        <v/>
      </c>
      <c r="M9" s="7">
        <f>(M7+M8)*$H$54*$H$53</f>
        <v/>
      </c>
    </row>
    <row r="10">
      <c r="A10" s="6" t="inlineStr">
        <is>
          <t>Support &amp; onderhoud</t>
        </is>
      </c>
      <c r="B10" s="7">
        <f>(B6+$H$56)*$H$55</f>
        <v/>
      </c>
      <c r="C10" s="7">
        <f>(C6+$H$56)*$H$55</f>
        <v/>
      </c>
      <c r="D10" s="7">
        <f>(D6+$H$56)*$H$55</f>
        <v/>
      </c>
      <c r="E10" s="7">
        <f>(E6+$H$56)*$H$55</f>
        <v/>
      </c>
      <c r="F10" s="7">
        <f>(F6+$H$56)*$H$55</f>
        <v/>
      </c>
      <c r="G10" s="7">
        <f>(G6+$H$56)*$H$55</f>
        <v/>
      </c>
      <c r="H10" s="7">
        <f>(H6+$H$56)*$H$55</f>
        <v/>
      </c>
      <c r="I10" s="7">
        <f>(I6+$H$56)*$H$55</f>
        <v/>
      </c>
      <c r="J10" s="7">
        <f>(J6+$H$56)*$H$55</f>
        <v/>
      </c>
      <c r="K10" s="7">
        <f>(K6+$H$56)*$H$55</f>
        <v/>
      </c>
      <c r="L10" s="7">
        <f>(L6+$H$56)*$H$55</f>
        <v/>
      </c>
      <c r="M10" s="7">
        <f>(M6+$H$56)*$H$55</f>
        <v/>
      </c>
    </row>
    <row r="11">
      <c r="A11" s="6" t="inlineStr">
        <is>
          <t>Onderdelen &amp; accessoires</t>
        </is>
      </c>
      <c r="B11" s="7">
        <f>0.03*(B6+B7+B8)</f>
        <v/>
      </c>
      <c r="C11" s="7">
        <f>0.03*(C6+C7+C8)</f>
        <v/>
      </c>
      <c r="D11" s="7">
        <f>0.03*(D6+D7+D8)</f>
        <v/>
      </c>
      <c r="E11" s="7">
        <f>0.03*(E6+E7+E8)</f>
        <v/>
      </c>
      <c r="F11" s="7">
        <f>0.03*(F6+F7+F8)</f>
        <v/>
      </c>
      <c r="G11" s="7">
        <f>0.03*(G6+G7+G8)</f>
        <v/>
      </c>
      <c r="H11" s="7">
        <f>0.03*(H6+H7+H8)</f>
        <v/>
      </c>
      <c r="I11" s="7">
        <f>0.03*(I6+I7+I8)</f>
        <v/>
      </c>
      <c r="J11" s="7">
        <f>0.03*(J6+J7+J8)</f>
        <v/>
      </c>
      <c r="K11" s="7">
        <f>0.03*(K6+K7+K8)</f>
        <v/>
      </c>
      <c r="L11" s="7">
        <f>0.03*(L6+L7+L8)</f>
        <v/>
      </c>
      <c r="M11" s="7">
        <f>0.03*(M6+M7+M8)</f>
        <v/>
      </c>
    </row>
    <row r="12">
      <c r="A12" s="6" t="inlineStr">
        <is>
          <t>Kickback zonnepanelen</t>
        </is>
      </c>
      <c r="B12" s="7">
        <f>$H$58*$H$57*$H$59</f>
        <v/>
      </c>
      <c r="C12" s="7">
        <f>$H$58*$H$57*$H$59</f>
        <v/>
      </c>
      <c r="D12" s="7">
        <f>$H$58*$H$57*$H$59</f>
        <v/>
      </c>
      <c r="E12" s="7">
        <f>$H$58*$H$57*$H$59</f>
        <v/>
      </c>
      <c r="F12" s="7">
        <f>$H$58*$H$57*$H$59</f>
        <v/>
      </c>
      <c r="G12" s="7">
        <f>$H$58*$H$57*$H$59</f>
        <v/>
      </c>
      <c r="H12" s="7">
        <f>$H$58*$H$57*$H$59</f>
        <v/>
      </c>
      <c r="I12" s="7">
        <f>$H$58*$H$57*$H$59</f>
        <v/>
      </c>
      <c r="J12" s="7">
        <f>$H$58*$H$57*$H$59</f>
        <v/>
      </c>
      <c r="K12" s="7">
        <f>$H$58*$H$57*$H$59</f>
        <v/>
      </c>
      <c r="L12" s="7">
        <f>$H$58*$H$57*$H$59</f>
        <v/>
      </c>
      <c r="M12" s="7">
        <f>$H$58*$H$57*$H$59</f>
        <v/>
      </c>
    </row>
    <row r="13">
      <c r="A13" s="6" t="inlineStr">
        <is>
          <t>Extra garantie</t>
        </is>
      </c>
      <c r="B13" s="7">
        <f>B6*$H$60*$H$61</f>
        <v/>
      </c>
      <c r="C13" s="7">
        <f>C6*$H$60*$H$61</f>
        <v/>
      </c>
      <c r="D13" s="7">
        <f>D6*$H$60*$H$61</f>
        <v/>
      </c>
      <c r="E13" s="7">
        <f>E6*$H$60*$H$61</f>
        <v/>
      </c>
      <c r="F13" s="7">
        <f>F6*$H$60*$H$61</f>
        <v/>
      </c>
      <c r="G13" s="7">
        <f>G6*$H$60*$H$61</f>
        <v/>
      </c>
      <c r="H13" s="7">
        <f>H6*$H$60*$H$61</f>
        <v/>
      </c>
      <c r="I13" s="7">
        <f>I6*$H$60*$H$61</f>
        <v/>
      </c>
      <c r="J13" s="7">
        <f>J6*$H$60*$H$61</f>
        <v/>
      </c>
      <c r="K13" s="7">
        <f>K6*$H$60*$H$61</f>
        <v/>
      </c>
      <c r="L13" s="7">
        <f>L6*$H$60*$H$61</f>
        <v/>
      </c>
      <c r="M13" s="7">
        <f>M6*$H$60*$H$61</f>
        <v/>
      </c>
    </row>
    <row r="14">
      <c r="A14" s="8" t="inlineStr">
        <is>
          <t>TOTALE OMZET</t>
        </is>
      </c>
      <c r="B14" s="9">
        <f>SUM(B6:B13)</f>
        <v/>
      </c>
      <c r="C14" s="9">
        <f>SUM(C6:C13)</f>
        <v/>
      </c>
      <c r="D14" s="9">
        <f>SUM(D6:D13)</f>
        <v/>
      </c>
      <c r="E14" s="9">
        <f>SUM(E6:E13)</f>
        <v/>
      </c>
      <c r="F14" s="9">
        <f>SUM(F6:F13)</f>
        <v/>
      </c>
      <c r="G14" s="9">
        <f>SUM(G6:G13)</f>
        <v/>
      </c>
      <c r="H14" s="9">
        <f>SUM(H6:H13)</f>
        <v/>
      </c>
      <c r="I14" s="9">
        <f>SUM(I6:I13)</f>
        <v/>
      </c>
      <c r="J14" s="9">
        <f>SUM(J6:J13)</f>
        <v/>
      </c>
      <c r="K14" s="9">
        <f>SUM(K6:K13)</f>
        <v/>
      </c>
      <c r="L14" s="9">
        <f>SUM(L6:L13)</f>
        <v/>
      </c>
      <c r="M14" s="9">
        <f>SUM(M6:M13)</f>
        <v/>
      </c>
    </row>
    <row r="16">
      <c r="A16" s="5" t="inlineStr">
        <is>
          <t>KOSTEN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6" t="inlineStr">
        <is>
          <t>Inkoop batterijsystemen</t>
        </is>
      </c>
      <c r="B17" s="7">
        <f>0.68*B6</f>
        <v/>
      </c>
      <c r="C17" s="7">
        <f>0.68*C6</f>
        <v/>
      </c>
      <c r="D17" s="7">
        <f>0.68*D6</f>
        <v/>
      </c>
      <c r="E17" s="7">
        <f>0.68*E6</f>
        <v/>
      </c>
      <c r="F17" s="7">
        <f>0.68*F6</f>
        <v/>
      </c>
      <c r="G17" s="7">
        <f>0.68*G6</f>
        <v/>
      </c>
      <c r="H17" s="7">
        <f>0.68*H6</f>
        <v/>
      </c>
      <c r="I17" s="7">
        <f>0.68*I6</f>
        <v/>
      </c>
      <c r="J17" s="7">
        <f>0.68*J6</f>
        <v/>
      </c>
      <c r="K17" s="7">
        <f>0.68*K6</f>
        <v/>
      </c>
      <c r="L17" s="7">
        <f>0.68*L6</f>
        <v/>
      </c>
      <c r="M17" s="7">
        <f>0.68*M6</f>
        <v/>
      </c>
    </row>
    <row r="18">
      <c r="A18" s="6" t="inlineStr">
        <is>
          <t>Inkoop AC laadpalen</t>
        </is>
      </c>
      <c r="B18" s="7">
        <f>0.59*B7</f>
        <v/>
      </c>
      <c r="C18" s="7">
        <f>0.59*C7</f>
        <v/>
      </c>
      <c r="D18" s="7">
        <f>0.59*D7</f>
        <v/>
      </c>
      <c r="E18" s="7">
        <f>0.59*E7</f>
        <v/>
      </c>
      <c r="F18" s="7">
        <f>0.59*F7</f>
        <v/>
      </c>
      <c r="G18" s="7">
        <f>0.59*G7</f>
        <v/>
      </c>
      <c r="H18" s="7">
        <f>0.59*H7</f>
        <v/>
      </c>
      <c r="I18" s="7">
        <f>0.59*I7</f>
        <v/>
      </c>
      <c r="J18" s="7">
        <f>0.59*J7</f>
        <v/>
      </c>
      <c r="K18" s="7">
        <f>0.59*K7</f>
        <v/>
      </c>
      <c r="L18" s="7">
        <f>0.59*L7</f>
        <v/>
      </c>
      <c r="M18" s="7">
        <f>0.59*M7</f>
        <v/>
      </c>
    </row>
    <row r="19">
      <c r="A19" s="6" t="inlineStr">
        <is>
          <t>Inkoop DC snelladers</t>
        </is>
      </c>
      <c r="B19" s="7">
        <f>0.67*B8</f>
        <v/>
      </c>
      <c r="C19" s="7">
        <f>0.67*C8</f>
        <v/>
      </c>
      <c r="D19" s="7">
        <f>0.67*D8</f>
        <v/>
      </c>
      <c r="E19" s="7">
        <f>0.67*E8</f>
        <v/>
      </c>
      <c r="F19" s="7">
        <f>0.67*F8</f>
        <v/>
      </c>
      <c r="G19" s="7">
        <f>0.67*G8</f>
        <v/>
      </c>
      <c r="H19" s="7">
        <f>0.67*H8</f>
        <v/>
      </c>
      <c r="I19" s="7">
        <f>0.67*I8</f>
        <v/>
      </c>
      <c r="J19" s="7">
        <f>0.67*J8</f>
        <v/>
      </c>
      <c r="K19" s="7">
        <f>0.67*K8</f>
        <v/>
      </c>
      <c r="L19" s="7">
        <f>0.67*L8</f>
        <v/>
      </c>
      <c r="M19" s="7">
        <f>0.67*M8</f>
        <v/>
      </c>
    </row>
    <row r="20">
      <c r="A20" s="6" t="inlineStr">
        <is>
          <t>Installatie &amp; logistiek</t>
        </is>
      </c>
      <c r="B20" s="7">
        <f>0.12*(B6+B7+B8)</f>
        <v/>
      </c>
      <c r="C20" s="7">
        <f>0.12*(C6+C7+C8)</f>
        <v/>
      </c>
      <c r="D20" s="7">
        <f>0.12*(D6+D7+D8)</f>
        <v/>
      </c>
      <c r="E20" s="7">
        <f>0.12*(E6+E7+E8)</f>
        <v/>
      </c>
      <c r="F20" s="7">
        <f>0.12*(F6+F7+F8)</f>
        <v/>
      </c>
      <c r="G20" s="7">
        <f>0.12*(G6+G7+G8)</f>
        <v/>
      </c>
      <c r="H20" s="7">
        <f>0.12*(H6+H7+H8)</f>
        <v/>
      </c>
      <c r="I20" s="7">
        <f>0.12*(I6+I7+I8)</f>
        <v/>
      </c>
      <c r="J20" s="7">
        <f>0.12*(J6+J7+J8)</f>
        <v/>
      </c>
      <c r="K20" s="7">
        <f>0.12*(K6+K7+K8)</f>
        <v/>
      </c>
      <c r="L20" s="7">
        <f>0.12*(L6+L7+L8)</f>
        <v/>
      </c>
      <c r="M20" s="7">
        <f>0.12*(M6+M7+M8)</f>
        <v/>
      </c>
    </row>
    <row r="21">
      <c r="A21" s="6" t="inlineStr">
        <is>
          <t>Personeel</t>
        </is>
      </c>
      <c r="B21" s="10" t="n">
        <v>8500</v>
      </c>
      <c r="C21" s="10" t="n">
        <v>8500</v>
      </c>
      <c r="D21" s="10" t="n">
        <v>10000</v>
      </c>
      <c r="E21" s="10" t="n">
        <v>10000</v>
      </c>
      <c r="F21" s="10" t="n">
        <v>10000</v>
      </c>
      <c r="G21" s="10" t="n">
        <v>12000</v>
      </c>
      <c r="H21" s="10" t="n">
        <v>12000</v>
      </c>
      <c r="I21" s="10" t="n">
        <v>12000</v>
      </c>
      <c r="J21" s="10" t="n">
        <v>14000</v>
      </c>
      <c r="K21" s="10" t="n">
        <v>14000</v>
      </c>
      <c r="L21" s="10" t="n">
        <v>14000</v>
      </c>
      <c r="M21" s="10" t="n">
        <v>16000</v>
      </c>
    </row>
    <row r="22">
      <c r="A22" s="6" t="inlineStr">
        <is>
          <t>Marketing &amp; sales</t>
        </is>
      </c>
      <c r="B22" s="10" t="n">
        <v>4000</v>
      </c>
      <c r="C22" s="10" t="n">
        <v>4000</v>
      </c>
      <c r="D22" s="10" t="n">
        <v>4500</v>
      </c>
      <c r="E22" s="10" t="n">
        <v>5000</v>
      </c>
      <c r="F22" s="10" t="n">
        <v>5000</v>
      </c>
      <c r="G22" s="10" t="n">
        <v>5000</v>
      </c>
      <c r="H22" s="10" t="n">
        <v>5500</v>
      </c>
      <c r="I22" s="10" t="n">
        <v>5500</v>
      </c>
      <c r="J22" s="10" t="n">
        <v>6000</v>
      </c>
      <c r="K22" s="10" t="n">
        <v>6000</v>
      </c>
      <c r="L22" s="10" t="n">
        <v>6000</v>
      </c>
      <c r="M22" s="10" t="n">
        <v>6000</v>
      </c>
    </row>
    <row r="23">
      <c r="A23" s="6" t="inlineStr">
        <is>
          <t>Kantoor &amp; operations</t>
        </is>
      </c>
      <c r="B23" s="10" t="n">
        <v>2500</v>
      </c>
      <c r="C23" s="10" t="n">
        <v>2500</v>
      </c>
      <c r="D23" s="10" t="n">
        <v>2500</v>
      </c>
      <c r="E23" s="10" t="n">
        <v>2500</v>
      </c>
      <c r="F23" s="10" t="n">
        <v>2500</v>
      </c>
      <c r="G23" s="10" t="n">
        <v>2500</v>
      </c>
      <c r="H23" s="10" t="n">
        <v>2500</v>
      </c>
      <c r="I23" s="10" t="n">
        <v>2500</v>
      </c>
      <c r="J23" s="10" t="n">
        <v>2500</v>
      </c>
      <c r="K23" s="10" t="n">
        <v>2500</v>
      </c>
      <c r="L23" s="10" t="n">
        <v>2500</v>
      </c>
      <c r="M23" s="10" t="n">
        <v>2500</v>
      </c>
    </row>
    <row r="24">
      <c r="A24" s="6" t="inlineStr">
        <is>
          <t>Software, tools &amp; IT</t>
        </is>
      </c>
      <c r="B24" s="10" t="n">
        <v>1000</v>
      </c>
      <c r="C24" s="10" t="n">
        <v>1000</v>
      </c>
      <c r="D24" s="10" t="n">
        <v>1000</v>
      </c>
      <c r="E24" s="10" t="n">
        <v>1000</v>
      </c>
      <c r="F24" s="10" t="n">
        <v>1000</v>
      </c>
      <c r="G24" s="10" t="n">
        <v>1000</v>
      </c>
      <c r="H24" s="10" t="n">
        <v>1000</v>
      </c>
      <c r="I24" s="10" t="n">
        <v>1000</v>
      </c>
      <c r="J24" s="10" t="n">
        <v>1000</v>
      </c>
      <c r="K24" s="10" t="n">
        <v>1000</v>
      </c>
      <c r="L24" s="10" t="n">
        <v>1000</v>
      </c>
      <c r="M24" s="10" t="n">
        <v>1000</v>
      </c>
    </row>
    <row r="25">
      <c r="A25" s="6" t="inlineStr">
        <is>
          <t>Verzekeringen &amp; garantie</t>
        </is>
      </c>
      <c r="B25" s="10" t="n">
        <v>1500</v>
      </c>
      <c r="C25" s="10" t="n">
        <v>1500</v>
      </c>
      <c r="D25" s="10" t="n">
        <v>1500</v>
      </c>
      <c r="E25" s="10" t="n">
        <v>1500</v>
      </c>
      <c r="F25" s="10" t="n">
        <v>1500</v>
      </c>
      <c r="G25" s="10" t="n">
        <v>1500</v>
      </c>
      <c r="H25" s="10" t="n">
        <v>1500</v>
      </c>
      <c r="I25" s="10" t="n">
        <v>1500</v>
      </c>
      <c r="J25" s="10" t="n">
        <v>1500</v>
      </c>
      <c r="K25" s="10" t="n">
        <v>1500</v>
      </c>
      <c r="L25" s="10" t="n">
        <v>1500</v>
      </c>
      <c r="M25" s="10" t="n">
        <v>1500</v>
      </c>
    </row>
    <row r="26">
      <c r="A26" s="6" t="inlineStr">
        <is>
          <t>Onvoorzien (5%)</t>
        </is>
      </c>
      <c r="B26" s="7">
        <f>0.05*SUM(B17:B25)</f>
        <v/>
      </c>
      <c r="C26" s="7">
        <f>0.05*SUM(C17:C25)</f>
        <v/>
      </c>
      <c r="D26" s="7">
        <f>0.05*SUM(D17:D25)</f>
        <v/>
      </c>
      <c r="E26" s="7">
        <f>0.05*SUM(E17:E25)</f>
        <v/>
      </c>
      <c r="F26" s="7">
        <f>0.05*SUM(F17:F25)</f>
        <v/>
      </c>
      <c r="G26" s="7">
        <f>0.05*SUM(G17:G25)</f>
        <v/>
      </c>
      <c r="H26" s="7">
        <f>0.05*SUM(H17:H25)</f>
        <v/>
      </c>
      <c r="I26" s="7">
        <f>0.05*SUM(I17:I25)</f>
        <v/>
      </c>
      <c r="J26" s="7">
        <f>0.05*SUM(J17:J25)</f>
        <v/>
      </c>
      <c r="K26" s="7">
        <f>0.05*SUM(K17:K25)</f>
        <v/>
      </c>
      <c r="L26" s="7">
        <f>0.05*SUM(L17:L25)</f>
        <v/>
      </c>
      <c r="M26" s="7">
        <f>0.05*SUM(M17:M25)</f>
        <v/>
      </c>
    </row>
    <row r="27">
      <c r="A27" s="8" t="inlineStr">
        <is>
          <t>TOTALE KOSTEN</t>
        </is>
      </c>
      <c r="B27" s="9">
        <f>SUM(B17:B26)</f>
        <v/>
      </c>
      <c r="C27" s="9">
        <f>SUM(C17:C26)</f>
        <v/>
      </c>
      <c r="D27" s="9">
        <f>SUM(D17:D26)</f>
        <v/>
      </c>
      <c r="E27" s="9">
        <f>SUM(E17:E26)</f>
        <v/>
      </c>
      <c r="F27" s="9">
        <f>SUM(F17:F26)</f>
        <v/>
      </c>
      <c r="G27" s="9">
        <f>SUM(G17:G26)</f>
        <v/>
      </c>
      <c r="H27" s="9">
        <f>SUM(H17:H26)</f>
        <v/>
      </c>
      <c r="I27" s="9">
        <f>SUM(I17:I26)</f>
        <v/>
      </c>
      <c r="J27" s="9">
        <f>SUM(J17:J26)</f>
        <v/>
      </c>
      <c r="K27" s="9">
        <f>SUM(K17:K26)</f>
        <v/>
      </c>
      <c r="L27" s="9">
        <f>SUM(L17:L26)</f>
        <v/>
      </c>
      <c r="M27" s="9">
        <f>SUM(M17:M26)</f>
        <v/>
      </c>
    </row>
    <row r="29">
      <c r="A29" s="4" t="inlineStr">
        <is>
          <t>NETTO RESULTAAT</t>
        </is>
      </c>
      <c r="B29" s="11">
        <f>B14-B27</f>
        <v/>
      </c>
      <c r="C29" s="11">
        <f>C14-C27</f>
        <v/>
      </c>
      <c r="D29" s="11">
        <f>D14-D27</f>
        <v/>
      </c>
      <c r="E29" s="11">
        <f>E14-E27</f>
        <v/>
      </c>
      <c r="F29" s="11">
        <f>F14-F27</f>
        <v/>
      </c>
      <c r="G29" s="11">
        <f>G14-G27</f>
        <v/>
      </c>
      <c r="H29" s="11">
        <f>H14-H27</f>
        <v/>
      </c>
      <c r="I29" s="11">
        <f>I14-I27</f>
        <v/>
      </c>
      <c r="J29" s="11">
        <f>J14-J27</f>
        <v/>
      </c>
      <c r="K29" s="11">
        <f>K14-K27</f>
        <v/>
      </c>
      <c r="L29" s="11">
        <f>L14-L27</f>
        <v/>
      </c>
      <c r="M29" s="11">
        <f>M14-M27</f>
        <v/>
      </c>
    </row>
    <row r="30">
      <c r="A30" s="12" t="inlineStr">
        <is>
          <t>Marge %</t>
        </is>
      </c>
      <c r="B30" s="13">
        <f>IFERROR(B29/B14,0)</f>
        <v/>
      </c>
      <c r="C30" s="13">
        <f>IFERROR(C29/C14,0)</f>
        <v/>
      </c>
      <c r="D30" s="13">
        <f>IFERROR(D29/D14,0)</f>
        <v/>
      </c>
      <c r="E30" s="13">
        <f>IFERROR(E29/E14,0)</f>
        <v/>
      </c>
      <c r="F30" s="13">
        <f>IFERROR(F29/F14,0)</f>
        <v/>
      </c>
      <c r="G30" s="13">
        <f>IFERROR(G29/G14,0)</f>
        <v/>
      </c>
      <c r="H30" s="13">
        <f>IFERROR(H29/H14,0)</f>
        <v/>
      </c>
      <c r="I30" s="13">
        <f>IFERROR(I29/I14,0)</f>
        <v/>
      </c>
      <c r="J30" s="13">
        <f>IFERROR(J29/J14,0)</f>
        <v/>
      </c>
      <c r="K30" s="13">
        <f>IFERROR(K29/K14,0)</f>
        <v/>
      </c>
      <c r="L30" s="13">
        <f>IFERROR(L29/L14,0)</f>
        <v/>
      </c>
      <c r="M30" s="13">
        <f>IFERROR(M29/M14,0)</f>
        <v/>
      </c>
    </row>
    <row r="31">
      <c r="A31" s="12" t="inlineStr">
        <is>
          <t>Cumulatief resultaat</t>
        </is>
      </c>
      <c r="B31" s="14">
        <f>B29</f>
        <v/>
      </c>
      <c r="C31" s="14">
        <f>B31+C29</f>
        <v/>
      </c>
      <c r="D31" s="14">
        <f>C31+D29</f>
        <v/>
      </c>
      <c r="E31" s="14">
        <f>D31+E29</f>
        <v/>
      </c>
      <c r="F31" s="14">
        <f>E31+F29</f>
        <v/>
      </c>
      <c r="G31" s="14">
        <f>F31+G29</f>
        <v/>
      </c>
      <c r="H31" s="14">
        <f>G31+H29</f>
        <v/>
      </c>
      <c r="I31" s="14">
        <f>H31+I29</f>
        <v/>
      </c>
      <c r="J31" s="14">
        <f>I31+J29</f>
        <v/>
      </c>
      <c r="K31" s="14">
        <f>J31+K29</f>
        <v/>
      </c>
      <c r="L31" s="14">
        <f>K31+L29</f>
        <v/>
      </c>
      <c r="M31" s="14">
        <f>L31+M29</f>
        <v/>
      </c>
    </row>
    <row r="48">
      <c r="A48" s="15" t="inlineStr">
        <is>
          <t>AANNAMES (gele cellen = zelf aanpassen)</t>
        </is>
      </c>
    </row>
    <row r="49">
      <c r="A49" s="6" t="inlineStr">
        <is>
          <t>Prijs batterijsysteem (gem.)</t>
        </is>
      </c>
      <c r="B49" s="10" t="n">
        <v>85000</v>
      </c>
      <c r="C49" s="6" t="inlineStr"/>
    </row>
    <row r="50">
      <c r="A50" s="6" t="inlineStr">
        <is>
          <t>Prijs AC laadpaal (gem.)</t>
        </is>
      </c>
      <c r="B50" s="10" t="n">
        <v>3200</v>
      </c>
      <c r="C50" s="6" t="inlineStr"/>
    </row>
    <row r="51">
      <c r="A51" s="6" t="inlineStr">
        <is>
          <t>Prijs DC snellader (gem.)</t>
        </is>
      </c>
      <c r="B51" s="10" t="n">
        <v>42000</v>
      </c>
      <c r="C51" s="6" t="inlineStr"/>
    </row>
    <row r="52">
      <c r="A52" s="6" t="inlineStr">
        <is>
          <t>— Lege regel —</t>
        </is>
      </c>
      <c r="C52" s="6" t="inlineStr"/>
    </row>
    <row r="53">
      <c r="A53" s="6" t="inlineStr">
        <is>
          <t>Laadopbrengst per kWh (EUR)</t>
        </is>
      </c>
      <c r="B53" s="16" t="n">
        <v>0.08</v>
      </c>
      <c r="C53" s="6" t="inlineStr"/>
    </row>
    <row r="54">
      <c r="A54" s="6" t="inlineStr">
        <is>
          <t>Gem. kWh per laadpaal/maand</t>
        </is>
      </c>
      <c r="B54" s="10" t="n">
        <v>3000</v>
      </c>
      <c r="C54" s="6" t="inlineStr"/>
    </row>
    <row r="55">
      <c r="A55" s="6" t="inlineStr">
        <is>
          <t>Support fee per klant/maand (EUR)</t>
        </is>
      </c>
      <c r="B55" s="10" t="n">
        <v>750</v>
      </c>
      <c r="C55" s="6" t="inlineStr"/>
    </row>
    <row r="56">
      <c r="A56" s="6" t="inlineStr">
        <is>
          <t>Start aantal actieve klanten</t>
        </is>
      </c>
      <c r="B56" s="10" t="n">
        <v>2</v>
      </c>
      <c r="C56" s="6" t="inlineStr"/>
    </row>
    <row r="57">
      <c r="A57" s="6" t="inlineStr">
        <is>
          <t>Kickback zon (%)</t>
        </is>
      </c>
      <c r="B57" s="17" t="n">
        <v>0.08</v>
      </c>
      <c r="C57" s="6" t="inlineStr"/>
    </row>
    <row r="58">
      <c r="A58" s="6" t="inlineStr">
        <is>
          <t>Gem. zon-installatie waarde (EUR)</t>
        </is>
      </c>
      <c r="B58" s="10" t="n">
        <v>55000</v>
      </c>
      <c r="C58" s="6" t="inlineStr"/>
    </row>
    <row r="59">
      <c r="A59" s="6" t="inlineStr">
        <is>
          <t>Aantal zon-projecten per maand</t>
        </is>
      </c>
      <c r="B59" s="18" t="n">
        <v>0.5</v>
      </c>
      <c r="C59" s="6" t="inlineStr"/>
    </row>
    <row r="60">
      <c r="A60" s="6" t="inlineStr">
        <is>
          <t>Extra garantie prijs (EUR)</t>
        </is>
      </c>
      <c r="B60" s="10" t="n">
        <v>1800</v>
      </c>
      <c r="C60" s="6" t="inlineStr"/>
    </row>
    <row r="61">
      <c r="A61" s="6" t="inlineStr">
        <is>
          <t>Take-rate garantie (%)</t>
        </is>
      </c>
      <c r="B61" s="17" t="n">
        <v>0.4</v>
      </c>
      <c r="C61" s="6" t="inlineStr"/>
    </row>
  </sheetData>
  <mergeCells count="3">
    <mergeCell ref="A48:B48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HES KPI Dashboard</t>
        </is>
      </c>
    </row>
    <row r="3">
      <c r="A3" s="5" t="inlineStr">
        <is>
          <t>Kerncijfers 12 maanden</t>
        </is>
      </c>
      <c r="B3" s="19" t="n"/>
    </row>
    <row r="4">
      <c r="A4" s="6" t="inlineStr">
        <is>
          <t>Totale omzet (12 mnd)</t>
        </is>
      </c>
      <c r="B4" s="20">
        <f>SUM(Budget!B14:M14)</f>
        <v/>
      </c>
    </row>
    <row r="5">
      <c r="A5" s="6" t="inlineStr">
        <is>
          <t>Totale kosten (12 mnd)</t>
        </is>
      </c>
      <c r="B5" s="20">
        <f>SUM(Budget!B27:M27)</f>
        <v/>
      </c>
    </row>
    <row r="6">
      <c r="A6" s="6" t="inlineStr">
        <is>
          <t>Netto resultaat (12 mnd)</t>
        </is>
      </c>
      <c r="B6" s="14">
        <f>SUM(Budget!B29:M29)</f>
        <v/>
      </c>
    </row>
    <row r="7">
      <c r="A7" s="6" t="inlineStr">
        <is>
          <t>Gemiddelde marge</t>
        </is>
      </c>
      <c r="B7" s="13">
        <f>AVERAGE(Budget!B30:M30)</f>
        <v/>
      </c>
    </row>
    <row r="8">
      <c r="A8" s="6" t="inlineStr">
        <is>
          <t>Batterijen verkocht (totaal)</t>
        </is>
      </c>
      <c r="B8" s="20">
        <f>SUM(Budget!B6:M6)/Budget!H49</f>
        <v/>
      </c>
    </row>
    <row r="9">
      <c r="A9" s="6" t="inlineStr">
        <is>
          <t>AC Laders verkocht (totaal)</t>
        </is>
      </c>
      <c r="B9" s="20">
        <f>SUM(Budget!B7:M7)/Budget!H50</f>
        <v/>
      </c>
    </row>
    <row r="10">
      <c r="A10" s="6" t="inlineStr">
        <is>
          <t>DC Snelladers verkocht (totaal)</t>
        </is>
      </c>
      <c r="B10" s="20">
        <f>SUM(Budget!B8:M8)/Budget!H51</f>
        <v/>
      </c>
    </row>
    <row r="13">
      <c r="A13" s="15" t="inlineStr">
        <is>
          <t>Hoe te gebruiken</t>
        </is>
      </c>
    </row>
    <row r="14">
      <c r="A14" s="2" t="inlineStr">
        <is>
          <t>Pas de gele cellen in het Budget-tabblad aan om scenario's door te rekenen</t>
        </is>
      </c>
    </row>
    <row r="15">
      <c r="A15" s="2" t="inlineStr">
        <is>
          <t>Alle formules werken automatisch door</t>
        </is>
      </c>
    </row>
    <row r="16">
      <c r="A16" s="2" t="inlineStr">
        <is>
          <t>Importeer in Google Sheets: Bestand → Importeren → Uploaden</t>
        </is>
      </c>
    </row>
    <row r="17">
      <c r="A17" s="2" t="inlineStr">
        <is>
          <t>De marge verbetert naarmate het klantenbestand groeit (support is recurring)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VERKOOPPROGNOSE 2026-2027</t>
        </is>
      </c>
    </row>
    <row r="2">
      <c r="A2" s="21" t="inlineStr">
        <is>
          <t>Gele cellen = zelf invullen. Totaal wordt automatisch berekend.</t>
        </is>
      </c>
    </row>
    <row r="4">
      <c r="A4" s="5" t="inlineStr">
        <is>
          <t>1. BATTERIJSYSTEMEN (ESS)</t>
        </is>
      </c>
    </row>
    <row r="5">
      <c r="A5" s="22" t="inlineStr">
        <is>
          <t>#</t>
        </is>
      </c>
      <c r="B5" s="22" t="inlineStr">
        <is>
          <t>Maand</t>
        </is>
      </c>
      <c r="C5" s="22" t="inlineStr">
        <is>
          <t>Aantal</t>
        </is>
      </c>
      <c r="D5" s="22" t="inlineStr">
        <is>
          <t>Prijs per stuk</t>
        </is>
      </c>
      <c r="E5" s="22" t="inlineStr">
        <is>
          <t>Totaal</t>
        </is>
      </c>
    </row>
    <row r="6">
      <c r="A6" s="6" t="n">
        <v>1</v>
      </c>
      <c r="B6" s="6" t="inlineStr">
        <is>
          <t>Aug '26</t>
        </is>
      </c>
      <c r="C6" s="23" t="n">
        <v>1</v>
      </c>
      <c r="D6" s="10" t="n">
        <v>85000</v>
      </c>
      <c r="E6" s="7">
        <f>C6*D6</f>
        <v/>
      </c>
    </row>
    <row r="7">
      <c r="A7" s="6" t="n">
        <v>2</v>
      </c>
      <c r="B7" s="6" t="inlineStr">
        <is>
          <t>Sep '26</t>
        </is>
      </c>
      <c r="C7" s="23" t="n">
        <v>1</v>
      </c>
      <c r="D7" s="10" t="n">
        <v>85000</v>
      </c>
      <c r="E7" s="7">
        <f>C7*D7</f>
        <v/>
      </c>
    </row>
    <row r="8">
      <c r="A8" s="6" t="n">
        <v>3</v>
      </c>
      <c r="B8" s="6" t="inlineStr">
        <is>
          <t>Okt '26</t>
        </is>
      </c>
      <c r="C8" s="23" t="n">
        <v>1</v>
      </c>
      <c r="D8" s="10" t="n">
        <v>85000</v>
      </c>
      <c r="E8" s="7">
        <f>C8*D8</f>
        <v/>
      </c>
    </row>
    <row r="9">
      <c r="A9" s="6" t="n">
        <v>4</v>
      </c>
      <c r="B9" s="6" t="inlineStr">
        <is>
          <t>Nov '26</t>
        </is>
      </c>
      <c r="C9" s="23" t="n">
        <v>2</v>
      </c>
      <c r="D9" s="10" t="n">
        <v>85000</v>
      </c>
      <c r="E9" s="7">
        <f>C9*D9</f>
        <v/>
      </c>
    </row>
    <row r="10">
      <c r="A10" s="6" t="n">
        <v>5</v>
      </c>
      <c r="B10" s="6" t="inlineStr">
        <is>
          <t>Dec '26</t>
        </is>
      </c>
      <c r="C10" s="23" t="n">
        <v>2</v>
      </c>
      <c r="D10" s="10" t="n">
        <v>85000</v>
      </c>
      <c r="E10" s="7">
        <f>C10*D10</f>
        <v/>
      </c>
    </row>
    <row r="11">
      <c r="A11" s="6" t="n">
        <v>6</v>
      </c>
      <c r="B11" s="6" t="inlineStr">
        <is>
          <t>Jan '27</t>
        </is>
      </c>
      <c r="C11" s="23" t="n">
        <v>2</v>
      </c>
      <c r="D11" s="10" t="n">
        <v>85000</v>
      </c>
      <c r="E11" s="7">
        <f>C11*D11</f>
        <v/>
      </c>
    </row>
    <row r="12">
      <c r="A12" s="6" t="n">
        <v>7</v>
      </c>
      <c r="B12" s="6" t="inlineStr">
        <is>
          <t>Feb '27</t>
        </is>
      </c>
      <c r="C12" s="23" t="n">
        <v>2</v>
      </c>
      <c r="D12" s="10" t="n">
        <v>85000</v>
      </c>
      <c r="E12" s="7">
        <f>C12*D12</f>
        <v/>
      </c>
    </row>
    <row r="13">
      <c r="A13" s="6" t="n">
        <v>8</v>
      </c>
      <c r="B13" s="6" t="inlineStr">
        <is>
          <t>Mrt '27</t>
        </is>
      </c>
      <c r="C13" s="23" t="n">
        <v>2</v>
      </c>
      <c r="D13" s="10" t="n">
        <v>85000</v>
      </c>
      <c r="E13" s="7">
        <f>C13*D13</f>
        <v/>
      </c>
    </row>
    <row r="14">
      <c r="A14" s="6" t="n">
        <v>9</v>
      </c>
      <c r="B14" s="6" t="inlineStr">
        <is>
          <t>Apr '27</t>
        </is>
      </c>
      <c r="C14" s="23" t="n">
        <v>3</v>
      </c>
      <c r="D14" s="10" t="n">
        <v>85000</v>
      </c>
      <c r="E14" s="7">
        <f>C14*D14</f>
        <v/>
      </c>
    </row>
    <row r="15">
      <c r="A15" s="6" t="n">
        <v>10</v>
      </c>
      <c r="B15" s="6" t="inlineStr">
        <is>
          <t>Mei '27</t>
        </is>
      </c>
      <c r="C15" s="23" t="n">
        <v>3</v>
      </c>
      <c r="D15" s="10" t="n">
        <v>85000</v>
      </c>
      <c r="E15" s="7">
        <f>C15*D15</f>
        <v/>
      </c>
    </row>
    <row r="16">
      <c r="A16" s="6" t="n">
        <v>11</v>
      </c>
      <c r="B16" s="6" t="inlineStr">
        <is>
          <t>Jun '27</t>
        </is>
      </c>
      <c r="C16" s="23" t="n">
        <v>3</v>
      </c>
      <c r="D16" s="10" t="n">
        <v>85000</v>
      </c>
      <c r="E16" s="7">
        <f>C16*D16</f>
        <v/>
      </c>
    </row>
    <row r="17">
      <c r="A17" s="6" t="n">
        <v>12</v>
      </c>
      <c r="B17" s="6" t="inlineStr">
        <is>
          <t>Jul '27</t>
        </is>
      </c>
      <c r="C17" s="23" t="n">
        <v>3</v>
      </c>
      <c r="D17" s="10" t="n">
        <v>85000</v>
      </c>
      <c r="E17" s="7">
        <f>C17*D17</f>
        <v/>
      </c>
    </row>
    <row r="18">
      <c r="A18" s="8" t="inlineStr"/>
      <c r="B18" s="8" t="inlineStr">
        <is>
          <t>TOTAAL</t>
        </is>
      </c>
      <c r="C18" s="8">
        <f>SUM(C6:C17)</f>
        <v/>
      </c>
      <c r="D18" s="24" t="n"/>
      <c r="E18" s="9">
        <f>SUM(E6:E17)</f>
        <v/>
      </c>
    </row>
    <row r="20">
      <c r="A20" s="5" t="inlineStr">
        <is>
          <t>2. AC LAADPALEN</t>
        </is>
      </c>
    </row>
    <row r="21">
      <c r="A21" s="22" t="inlineStr">
        <is>
          <t>#</t>
        </is>
      </c>
      <c r="B21" s="22" t="inlineStr">
        <is>
          <t>Maand</t>
        </is>
      </c>
      <c r="C21" s="22" t="inlineStr">
        <is>
          <t>Aantal</t>
        </is>
      </c>
      <c r="D21" s="22" t="inlineStr">
        <is>
          <t>Prijs per stuk</t>
        </is>
      </c>
      <c r="E21" s="22" t="inlineStr">
        <is>
          <t>Totaal</t>
        </is>
      </c>
    </row>
    <row r="22">
      <c r="A22" s="6" t="n">
        <v>1</v>
      </c>
      <c r="B22" s="6" t="inlineStr">
        <is>
          <t>Aug '26</t>
        </is>
      </c>
      <c r="C22" s="23" t="n">
        <v>4</v>
      </c>
      <c r="D22" s="10" t="n">
        <v>3200</v>
      </c>
      <c r="E22" s="7">
        <f>C22*D22</f>
        <v/>
      </c>
    </row>
    <row r="23">
      <c r="A23" s="6" t="n">
        <v>2</v>
      </c>
      <c r="B23" s="6" t="inlineStr">
        <is>
          <t>Sep '26</t>
        </is>
      </c>
      <c r="C23" s="23" t="n">
        <v>5</v>
      </c>
      <c r="D23" s="10" t="n">
        <v>3200</v>
      </c>
      <c r="E23" s="7">
        <f>C23*D23</f>
        <v/>
      </c>
    </row>
    <row r="24">
      <c r="A24" s="6" t="n">
        <v>3</v>
      </c>
      <c r="B24" s="6" t="inlineStr">
        <is>
          <t>Okt '26</t>
        </is>
      </c>
      <c r="C24" s="23" t="n">
        <v>6</v>
      </c>
      <c r="D24" s="10" t="n">
        <v>3200</v>
      </c>
      <c r="E24" s="7">
        <f>C24*D24</f>
        <v/>
      </c>
    </row>
    <row r="25">
      <c r="A25" s="6" t="n">
        <v>4</v>
      </c>
      <c r="B25" s="6" t="inlineStr">
        <is>
          <t>Nov '26</t>
        </is>
      </c>
      <c r="C25" s="23" t="n">
        <v>7</v>
      </c>
      <c r="D25" s="10" t="n">
        <v>3200</v>
      </c>
      <c r="E25" s="7">
        <f>C25*D25</f>
        <v/>
      </c>
    </row>
    <row r="26">
      <c r="A26" s="6" t="n">
        <v>5</v>
      </c>
      <c r="B26" s="6" t="inlineStr">
        <is>
          <t>Dec '26</t>
        </is>
      </c>
      <c r="C26" s="23" t="n">
        <v>8</v>
      </c>
      <c r="D26" s="10" t="n">
        <v>3200</v>
      </c>
      <c r="E26" s="7">
        <f>C26*D26</f>
        <v/>
      </c>
    </row>
    <row r="27">
      <c r="A27" s="6" t="n">
        <v>6</v>
      </c>
      <c r="B27" s="6" t="inlineStr">
        <is>
          <t>Jan '27</t>
        </is>
      </c>
      <c r="C27" s="23" t="n">
        <v>9</v>
      </c>
      <c r="D27" s="10" t="n">
        <v>3200</v>
      </c>
      <c r="E27" s="7">
        <f>C27*D27</f>
        <v/>
      </c>
    </row>
    <row r="28">
      <c r="A28" s="6" t="n">
        <v>7</v>
      </c>
      <c r="B28" s="6" t="inlineStr">
        <is>
          <t>Feb '27</t>
        </is>
      </c>
      <c r="C28" s="23" t="n">
        <v>10</v>
      </c>
      <c r="D28" s="10" t="n">
        <v>3200</v>
      </c>
      <c r="E28" s="7">
        <f>C28*D28</f>
        <v/>
      </c>
    </row>
    <row r="29">
      <c r="A29" s="6" t="n">
        <v>8</v>
      </c>
      <c r="B29" s="6" t="inlineStr">
        <is>
          <t>Mrt '27</t>
        </is>
      </c>
      <c r="C29" s="23" t="n">
        <v>10</v>
      </c>
      <c r="D29" s="10" t="n">
        <v>3200</v>
      </c>
      <c r="E29" s="7">
        <f>C29*D29</f>
        <v/>
      </c>
    </row>
    <row r="30">
      <c r="A30" s="6" t="n">
        <v>9</v>
      </c>
      <c r="B30" s="6" t="inlineStr">
        <is>
          <t>Apr '27</t>
        </is>
      </c>
      <c r="C30" s="23" t="n">
        <v>12</v>
      </c>
      <c r="D30" s="10" t="n">
        <v>3200</v>
      </c>
      <c r="E30" s="7">
        <f>C30*D30</f>
        <v/>
      </c>
    </row>
    <row r="31">
      <c r="A31" s="6" t="n">
        <v>10</v>
      </c>
      <c r="B31" s="6" t="inlineStr">
        <is>
          <t>Mei '27</t>
        </is>
      </c>
      <c r="C31" s="23" t="n">
        <v>12</v>
      </c>
      <c r="D31" s="10" t="n">
        <v>3200</v>
      </c>
      <c r="E31" s="7">
        <f>C31*D31</f>
        <v/>
      </c>
    </row>
    <row r="32">
      <c r="A32" s="6" t="n">
        <v>11</v>
      </c>
      <c r="B32" s="6" t="inlineStr">
        <is>
          <t>Jun '27</t>
        </is>
      </c>
      <c r="C32" s="23" t="n">
        <v>14</v>
      </c>
      <c r="D32" s="10" t="n">
        <v>3200</v>
      </c>
      <c r="E32" s="7">
        <f>C32*D32</f>
        <v/>
      </c>
    </row>
    <row r="33">
      <c r="A33" s="6" t="n">
        <v>12</v>
      </c>
      <c r="B33" s="6" t="inlineStr">
        <is>
          <t>Jul '27</t>
        </is>
      </c>
      <c r="C33" s="23" t="n">
        <v>14</v>
      </c>
      <c r="D33" s="10" t="n">
        <v>3200</v>
      </c>
      <c r="E33" s="7">
        <f>C33*D33</f>
        <v/>
      </c>
    </row>
    <row r="34">
      <c r="A34" s="8" t="inlineStr"/>
      <c r="B34" s="8" t="inlineStr">
        <is>
          <t>TOTAAL</t>
        </is>
      </c>
      <c r="C34" s="8">
        <f>SUM(C22:C33)</f>
        <v/>
      </c>
      <c r="D34" s="24" t="n"/>
      <c r="E34" s="9">
        <f>SUM(E22:E33)</f>
        <v/>
      </c>
    </row>
    <row r="36">
      <c r="A36" s="5" t="inlineStr">
        <is>
          <t>3. DC SNELLADERS</t>
        </is>
      </c>
    </row>
    <row r="37">
      <c r="A37" s="22" t="inlineStr">
        <is>
          <t>#</t>
        </is>
      </c>
      <c r="B37" s="22" t="inlineStr">
        <is>
          <t>Maand</t>
        </is>
      </c>
      <c r="C37" s="22" t="inlineStr">
        <is>
          <t>Aantal</t>
        </is>
      </c>
      <c r="D37" s="22" t="inlineStr">
        <is>
          <t>Prijs per stuk</t>
        </is>
      </c>
      <c r="E37" s="22" t="inlineStr">
        <is>
          <t>Totaal</t>
        </is>
      </c>
    </row>
    <row r="38">
      <c r="A38" s="6" t="n">
        <v>1</v>
      </c>
      <c r="B38" s="6" t="inlineStr">
        <is>
          <t>Aug '26</t>
        </is>
      </c>
      <c r="C38" s="23" t="n">
        <v>0</v>
      </c>
      <c r="D38" s="10" t="n">
        <v>42000</v>
      </c>
      <c r="E38" s="7">
        <f>C38*D38</f>
        <v/>
      </c>
    </row>
    <row r="39">
      <c r="A39" s="6" t="n">
        <v>2</v>
      </c>
      <c r="B39" s="6" t="inlineStr">
        <is>
          <t>Sep '26</t>
        </is>
      </c>
      <c r="C39" s="23" t="n">
        <v>1</v>
      </c>
      <c r="D39" s="10" t="n">
        <v>42000</v>
      </c>
      <c r="E39" s="7">
        <f>C39*D39</f>
        <v/>
      </c>
    </row>
    <row r="40">
      <c r="A40" s="6" t="n">
        <v>3</v>
      </c>
      <c r="B40" s="6" t="inlineStr">
        <is>
          <t>Okt '26</t>
        </is>
      </c>
      <c r="C40" s="23" t="n">
        <v>0</v>
      </c>
      <c r="D40" s="10" t="n">
        <v>42000</v>
      </c>
      <c r="E40" s="7">
        <f>C40*D40</f>
        <v/>
      </c>
    </row>
    <row r="41">
      <c r="A41" s="6" t="n">
        <v>4</v>
      </c>
      <c r="B41" s="6" t="inlineStr">
        <is>
          <t>Nov '26</t>
        </is>
      </c>
      <c r="C41" s="23" t="n">
        <v>1</v>
      </c>
      <c r="D41" s="10" t="n">
        <v>42000</v>
      </c>
      <c r="E41" s="7">
        <f>C41*D41</f>
        <v/>
      </c>
    </row>
    <row r="42">
      <c r="A42" s="6" t="n">
        <v>5</v>
      </c>
      <c r="B42" s="6" t="inlineStr">
        <is>
          <t>Dec '26</t>
        </is>
      </c>
      <c r="C42" s="23" t="n">
        <v>0</v>
      </c>
      <c r="D42" s="10" t="n">
        <v>42000</v>
      </c>
      <c r="E42" s="7">
        <f>C42*D42</f>
        <v/>
      </c>
    </row>
    <row r="43">
      <c r="A43" s="6" t="n">
        <v>6</v>
      </c>
      <c r="B43" s="6" t="inlineStr">
        <is>
          <t>Jan '27</t>
        </is>
      </c>
      <c r="C43" s="23" t="n">
        <v>1</v>
      </c>
      <c r="D43" s="10" t="n">
        <v>42000</v>
      </c>
      <c r="E43" s="7">
        <f>C43*D43</f>
        <v/>
      </c>
    </row>
    <row r="44">
      <c r="A44" s="6" t="n">
        <v>7</v>
      </c>
      <c r="B44" s="6" t="inlineStr">
        <is>
          <t>Feb '27</t>
        </is>
      </c>
      <c r="C44" s="23" t="n">
        <v>1</v>
      </c>
      <c r="D44" s="10" t="n">
        <v>42000</v>
      </c>
      <c r="E44" s="7">
        <f>C44*D44</f>
        <v/>
      </c>
    </row>
    <row r="45">
      <c r="A45" s="6" t="n">
        <v>8</v>
      </c>
      <c r="B45" s="6" t="inlineStr">
        <is>
          <t>Mrt '27</t>
        </is>
      </c>
      <c r="C45" s="23" t="n">
        <v>1</v>
      </c>
      <c r="D45" s="10" t="n">
        <v>42000</v>
      </c>
      <c r="E45" s="7">
        <f>C45*D45</f>
        <v/>
      </c>
    </row>
    <row r="46">
      <c r="A46" s="6" t="n">
        <v>9</v>
      </c>
      <c r="B46" s="6" t="inlineStr">
        <is>
          <t>Apr '27</t>
        </is>
      </c>
      <c r="C46" s="23" t="n">
        <v>1</v>
      </c>
      <c r="D46" s="10" t="n">
        <v>42000</v>
      </c>
      <c r="E46" s="7">
        <f>C46*D46</f>
        <v/>
      </c>
    </row>
    <row r="47">
      <c r="A47" s="6" t="n">
        <v>10</v>
      </c>
      <c r="B47" s="6" t="inlineStr">
        <is>
          <t>Mei '27</t>
        </is>
      </c>
      <c r="C47" s="23" t="n">
        <v>2</v>
      </c>
      <c r="D47" s="10" t="n">
        <v>42000</v>
      </c>
      <c r="E47" s="7">
        <f>C47*D47</f>
        <v/>
      </c>
    </row>
    <row r="48">
      <c r="A48" s="6" t="n">
        <v>11</v>
      </c>
      <c r="B48" s="6" t="inlineStr">
        <is>
          <t>Jun '27</t>
        </is>
      </c>
      <c r="C48" s="23" t="n">
        <v>1</v>
      </c>
      <c r="D48" s="10" t="n">
        <v>42000</v>
      </c>
      <c r="E48" s="7">
        <f>C48*D48</f>
        <v/>
      </c>
    </row>
    <row r="49">
      <c r="A49" s="6" t="n">
        <v>12</v>
      </c>
      <c r="B49" s="6" t="inlineStr">
        <is>
          <t>Jul '27</t>
        </is>
      </c>
      <c r="C49" s="23" t="n">
        <v>2</v>
      </c>
      <c r="D49" s="10" t="n">
        <v>42000</v>
      </c>
      <c r="E49" s="7">
        <f>C49*D49</f>
        <v/>
      </c>
    </row>
    <row r="50">
      <c r="A50" s="8" t="inlineStr"/>
      <c r="B50" s="8" t="inlineStr">
        <is>
          <t>TOTAAL</t>
        </is>
      </c>
      <c r="C50" s="8">
        <f>SUM(C38:C49)</f>
        <v/>
      </c>
      <c r="D50" s="24" t="n"/>
      <c r="E50" s="9">
        <f>SUM(E38:E49)</f>
        <v/>
      </c>
    </row>
    <row r="52">
      <c r="A52" s="5" t="inlineStr">
        <is>
          <t>4. SUPPORT &amp; ONDERHOUD (per maand)</t>
        </is>
      </c>
    </row>
    <row r="53">
      <c r="A53" s="22" t="inlineStr">
        <is>
          <t>#</t>
        </is>
      </c>
      <c r="B53" s="22" t="inlineStr">
        <is>
          <t>Maand</t>
        </is>
      </c>
      <c r="C53" s="22" t="inlineStr">
        <is>
          <t>Aantal</t>
        </is>
      </c>
      <c r="D53" s="22" t="inlineStr">
        <is>
          <t>Prijs per stuk</t>
        </is>
      </c>
      <c r="E53" s="22" t="inlineStr">
        <is>
          <t>Totaal</t>
        </is>
      </c>
    </row>
    <row r="54">
      <c r="A54" s="6" t="n">
        <v>1</v>
      </c>
      <c r="B54" s="6" t="inlineStr">
        <is>
          <t>Aug '26</t>
        </is>
      </c>
      <c r="C54" s="23" t="n">
        <v>2</v>
      </c>
      <c r="D54" s="10" t="n">
        <v>750</v>
      </c>
      <c r="E54" s="7">
        <f>C54*D54</f>
        <v/>
      </c>
    </row>
    <row r="55">
      <c r="A55" s="6" t="n">
        <v>2</v>
      </c>
      <c r="B55" s="6" t="inlineStr">
        <is>
          <t>Sep '26</t>
        </is>
      </c>
      <c r="C55" s="23" t="n">
        <v>3</v>
      </c>
      <c r="D55" s="10" t="n">
        <v>750</v>
      </c>
      <c r="E55" s="7">
        <f>C55*D55</f>
        <v/>
      </c>
    </row>
    <row r="56">
      <c r="A56" s="6" t="n">
        <v>3</v>
      </c>
      <c r="B56" s="6" t="inlineStr">
        <is>
          <t>Okt '26</t>
        </is>
      </c>
      <c r="C56" s="23" t="n">
        <v>3</v>
      </c>
      <c r="D56" s="10" t="n">
        <v>750</v>
      </c>
      <c r="E56" s="7">
        <f>C56*D56</f>
        <v/>
      </c>
    </row>
    <row r="57">
      <c r="A57" s="6" t="n">
        <v>4</v>
      </c>
      <c r="B57" s="6" t="inlineStr">
        <is>
          <t>Nov '26</t>
        </is>
      </c>
      <c r="C57" s="23" t="n">
        <v>4</v>
      </c>
      <c r="D57" s="10" t="n">
        <v>750</v>
      </c>
      <c r="E57" s="7">
        <f>C57*D57</f>
        <v/>
      </c>
    </row>
    <row r="58">
      <c r="A58" s="6" t="n">
        <v>5</v>
      </c>
      <c r="B58" s="6" t="inlineStr">
        <is>
          <t>Dec '26</t>
        </is>
      </c>
      <c r="C58" s="23" t="n">
        <v>5</v>
      </c>
      <c r="D58" s="10" t="n">
        <v>750</v>
      </c>
      <c r="E58" s="7">
        <f>C58*D58</f>
        <v/>
      </c>
    </row>
    <row r="59">
      <c r="A59" s="6" t="n">
        <v>6</v>
      </c>
      <c r="B59" s="6" t="inlineStr">
        <is>
          <t>Jan '27</t>
        </is>
      </c>
      <c r="C59" s="23" t="n">
        <v>6</v>
      </c>
      <c r="D59" s="10" t="n">
        <v>750</v>
      </c>
      <c r="E59" s="7">
        <f>C59*D59</f>
        <v/>
      </c>
    </row>
    <row r="60">
      <c r="A60" s="6" t="n">
        <v>7</v>
      </c>
      <c r="B60" s="6" t="inlineStr">
        <is>
          <t>Feb '27</t>
        </is>
      </c>
      <c r="C60" s="23" t="n">
        <v>7</v>
      </c>
      <c r="D60" s="10" t="n">
        <v>750</v>
      </c>
      <c r="E60" s="7">
        <f>C60*D60</f>
        <v/>
      </c>
    </row>
    <row r="61">
      <c r="A61" s="6" t="n">
        <v>8</v>
      </c>
      <c r="B61" s="6" t="inlineStr">
        <is>
          <t>Mrt '27</t>
        </is>
      </c>
      <c r="C61" s="23" t="n">
        <v>7</v>
      </c>
      <c r="D61" s="10" t="n">
        <v>750</v>
      </c>
      <c r="E61" s="7">
        <f>C61*D61</f>
        <v/>
      </c>
    </row>
    <row r="62">
      <c r="A62" s="6" t="n">
        <v>9</v>
      </c>
      <c r="B62" s="6" t="inlineStr">
        <is>
          <t>Apr '27</t>
        </is>
      </c>
      <c r="C62" s="23" t="n">
        <v>8</v>
      </c>
      <c r="D62" s="10" t="n">
        <v>750</v>
      </c>
      <c r="E62" s="7">
        <f>C62*D62</f>
        <v/>
      </c>
    </row>
    <row r="63">
      <c r="A63" s="6" t="n">
        <v>10</v>
      </c>
      <c r="B63" s="6" t="inlineStr">
        <is>
          <t>Mei '27</t>
        </is>
      </c>
      <c r="C63" s="23" t="n">
        <v>9</v>
      </c>
      <c r="D63" s="10" t="n">
        <v>750</v>
      </c>
      <c r="E63" s="7">
        <f>C63*D63</f>
        <v/>
      </c>
    </row>
    <row r="64">
      <c r="A64" s="6" t="n">
        <v>11</v>
      </c>
      <c r="B64" s="6" t="inlineStr">
        <is>
          <t>Jun '27</t>
        </is>
      </c>
      <c r="C64" s="23" t="n">
        <v>10</v>
      </c>
      <c r="D64" s="10" t="n">
        <v>750</v>
      </c>
      <c r="E64" s="7">
        <f>C64*D64</f>
        <v/>
      </c>
    </row>
    <row r="65">
      <c r="A65" s="6" t="n">
        <v>12</v>
      </c>
      <c r="B65" s="6" t="inlineStr">
        <is>
          <t>Jul '27</t>
        </is>
      </c>
      <c r="C65" s="23" t="n">
        <v>10</v>
      </c>
      <c r="D65" s="10" t="n">
        <v>750</v>
      </c>
      <c r="E65" s="7">
        <f>C65*D65</f>
        <v/>
      </c>
    </row>
    <row r="66">
      <c r="A66" s="8" t="inlineStr"/>
      <c r="B66" s="8" t="inlineStr">
        <is>
          <t>TOTAAL</t>
        </is>
      </c>
      <c r="C66" s="8">
        <f>SUM(C54:C65)</f>
        <v/>
      </c>
      <c r="D66" s="24" t="n"/>
      <c r="E66" s="9">
        <f>SUM(E54:E65)</f>
        <v/>
      </c>
    </row>
    <row r="68">
      <c r="A68" s="5" t="inlineStr">
        <is>
          <t>5. KICKBACK ZONNEPANELEN (commissie)</t>
        </is>
      </c>
    </row>
    <row r="69">
      <c r="A69" s="22" t="inlineStr">
        <is>
          <t>#</t>
        </is>
      </c>
      <c r="B69" s="22" t="inlineStr">
        <is>
          <t>Maand</t>
        </is>
      </c>
      <c r="C69" s="22" t="inlineStr">
        <is>
          <t>Aantal</t>
        </is>
      </c>
      <c r="D69" s="22" t="inlineStr">
        <is>
          <t>Prijs per stuk</t>
        </is>
      </c>
      <c r="E69" s="22" t="inlineStr">
        <is>
          <t>Totaal</t>
        </is>
      </c>
    </row>
    <row r="70">
      <c r="A70" s="6" t="n">
        <v>1</v>
      </c>
      <c r="B70" s="6" t="inlineStr">
        <is>
          <t>Aug '26</t>
        </is>
      </c>
      <c r="C70" s="23" t="n">
        <v>0</v>
      </c>
      <c r="D70" s="10" t="n">
        <v>4400</v>
      </c>
      <c r="E70" s="7">
        <f>C70*D70</f>
        <v/>
      </c>
    </row>
    <row r="71">
      <c r="A71" s="6" t="n">
        <v>2</v>
      </c>
      <c r="B71" s="6" t="inlineStr">
        <is>
          <t>Sep '26</t>
        </is>
      </c>
      <c r="C71" s="23" t="n">
        <v>1</v>
      </c>
      <c r="D71" s="10" t="n">
        <v>4400</v>
      </c>
      <c r="E71" s="7">
        <f>C71*D71</f>
        <v/>
      </c>
    </row>
    <row r="72">
      <c r="A72" s="6" t="n">
        <v>3</v>
      </c>
      <c r="B72" s="6" t="inlineStr">
        <is>
          <t>Okt '26</t>
        </is>
      </c>
      <c r="C72" s="23" t="n">
        <v>0</v>
      </c>
      <c r="D72" s="10" t="n">
        <v>4400</v>
      </c>
      <c r="E72" s="7">
        <f>C72*D72</f>
        <v/>
      </c>
    </row>
    <row r="73">
      <c r="A73" s="6" t="n">
        <v>4</v>
      </c>
      <c r="B73" s="6" t="inlineStr">
        <is>
          <t>Nov '26</t>
        </is>
      </c>
      <c r="C73" s="23" t="n">
        <v>1</v>
      </c>
      <c r="D73" s="10" t="n">
        <v>4400</v>
      </c>
      <c r="E73" s="7">
        <f>C73*D73</f>
        <v/>
      </c>
    </row>
    <row r="74">
      <c r="A74" s="6" t="n">
        <v>5</v>
      </c>
      <c r="B74" s="6" t="inlineStr">
        <is>
          <t>Dec '26</t>
        </is>
      </c>
      <c r="C74" s="23" t="n">
        <v>0</v>
      </c>
      <c r="D74" s="10" t="n">
        <v>4400</v>
      </c>
      <c r="E74" s="7">
        <f>C74*D74</f>
        <v/>
      </c>
    </row>
    <row r="75">
      <c r="A75" s="6" t="n">
        <v>6</v>
      </c>
      <c r="B75" s="6" t="inlineStr">
        <is>
          <t>Jan '27</t>
        </is>
      </c>
      <c r="C75" s="23" t="n">
        <v>1</v>
      </c>
      <c r="D75" s="10" t="n">
        <v>4400</v>
      </c>
      <c r="E75" s="7">
        <f>C75*D75</f>
        <v/>
      </c>
    </row>
    <row r="76">
      <c r="A76" s="6" t="n">
        <v>7</v>
      </c>
      <c r="B76" s="6" t="inlineStr">
        <is>
          <t>Feb '27</t>
        </is>
      </c>
      <c r="C76" s="23" t="n">
        <v>0</v>
      </c>
      <c r="D76" s="10" t="n">
        <v>4400</v>
      </c>
      <c r="E76" s="7">
        <f>C76*D76</f>
        <v/>
      </c>
    </row>
    <row r="77">
      <c r="A77" s="6" t="n">
        <v>8</v>
      </c>
      <c r="B77" s="6" t="inlineStr">
        <is>
          <t>Mrt '27</t>
        </is>
      </c>
      <c r="C77" s="23" t="n">
        <v>1</v>
      </c>
      <c r="D77" s="10" t="n">
        <v>4400</v>
      </c>
      <c r="E77" s="7">
        <f>C77*D77</f>
        <v/>
      </c>
    </row>
    <row r="78">
      <c r="A78" s="6" t="n">
        <v>9</v>
      </c>
      <c r="B78" s="6" t="inlineStr">
        <is>
          <t>Apr '27</t>
        </is>
      </c>
      <c r="C78" s="23" t="n">
        <v>0</v>
      </c>
      <c r="D78" s="10" t="n">
        <v>4400</v>
      </c>
      <c r="E78" s="7">
        <f>C78*D78</f>
        <v/>
      </c>
    </row>
    <row r="79">
      <c r="A79" s="6" t="n">
        <v>10</v>
      </c>
      <c r="B79" s="6" t="inlineStr">
        <is>
          <t>Mei '27</t>
        </is>
      </c>
      <c r="C79" s="23" t="n">
        <v>1</v>
      </c>
      <c r="D79" s="10" t="n">
        <v>4400</v>
      </c>
      <c r="E79" s="7">
        <f>C79*D79</f>
        <v/>
      </c>
    </row>
    <row r="80">
      <c r="A80" s="6" t="n">
        <v>11</v>
      </c>
      <c r="B80" s="6" t="inlineStr">
        <is>
          <t>Jun '27</t>
        </is>
      </c>
      <c r="C80" s="23" t="n">
        <v>0</v>
      </c>
      <c r="D80" s="10" t="n">
        <v>4400</v>
      </c>
      <c r="E80" s="7">
        <f>C80*D80</f>
        <v/>
      </c>
    </row>
    <row r="81">
      <c r="A81" s="6" t="n">
        <v>12</v>
      </c>
      <c r="B81" s="6" t="inlineStr">
        <is>
          <t>Jul '27</t>
        </is>
      </c>
      <c r="C81" s="23" t="n">
        <v>1</v>
      </c>
      <c r="D81" s="10" t="n">
        <v>4400</v>
      </c>
      <c r="E81" s="7">
        <f>C81*D81</f>
        <v/>
      </c>
    </row>
    <row r="82">
      <c r="A82" s="8" t="inlineStr"/>
      <c r="B82" s="8" t="inlineStr">
        <is>
          <t>TOTAAL</t>
        </is>
      </c>
      <c r="C82" s="8">
        <f>SUM(C70:C81)</f>
        <v/>
      </c>
      <c r="D82" s="24" t="n"/>
      <c r="E82" s="9">
        <f>SUM(E70:E81)</f>
        <v/>
      </c>
    </row>
    <row r="84">
      <c r="A84" s="5" t="inlineStr">
        <is>
          <t>6. EXTRA GARANTIE PAKKETTEN</t>
        </is>
      </c>
    </row>
    <row r="85">
      <c r="A85" s="22" t="inlineStr">
        <is>
          <t>#</t>
        </is>
      </c>
      <c r="B85" s="22" t="inlineStr">
        <is>
          <t>Maand</t>
        </is>
      </c>
      <c r="C85" s="22" t="inlineStr">
        <is>
          <t>Aantal</t>
        </is>
      </c>
      <c r="D85" s="22" t="inlineStr">
        <is>
          <t>Prijs per stuk</t>
        </is>
      </c>
      <c r="E85" s="22" t="inlineStr">
        <is>
          <t>Totaal</t>
        </is>
      </c>
    </row>
    <row r="86">
      <c r="A86" s="6" t="n">
        <v>1</v>
      </c>
      <c r="B86" s="6" t="inlineStr">
        <is>
          <t>Aug '26</t>
        </is>
      </c>
      <c r="C86" s="23" t="n">
        <v>0</v>
      </c>
      <c r="D86" s="10" t="n">
        <v>1800</v>
      </c>
      <c r="E86" s="7">
        <f>C86*D86</f>
        <v/>
      </c>
    </row>
    <row r="87">
      <c r="A87" s="6" t="n">
        <v>2</v>
      </c>
      <c r="B87" s="6" t="inlineStr">
        <is>
          <t>Sep '26</t>
        </is>
      </c>
      <c r="C87" s="23" t="n">
        <v>0</v>
      </c>
      <c r="D87" s="10" t="n">
        <v>1800</v>
      </c>
      <c r="E87" s="7">
        <f>C87*D87</f>
        <v/>
      </c>
    </row>
    <row r="88">
      <c r="A88" s="6" t="n">
        <v>3</v>
      </c>
      <c r="B88" s="6" t="inlineStr">
        <is>
          <t>Okt '26</t>
        </is>
      </c>
      <c r="C88" s="23" t="n">
        <v>1</v>
      </c>
      <c r="D88" s="10" t="n">
        <v>1800</v>
      </c>
      <c r="E88" s="7">
        <f>C88*D88</f>
        <v/>
      </c>
    </row>
    <row r="89">
      <c r="A89" s="6" t="n">
        <v>4</v>
      </c>
      <c r="B89" s="6" t="inlineStr">
        <is>
          <t>Nov '26</t>
        </is>
      </c>
      <c r="C89" s="23" t="n">
        <v>0</v>
      </c>
      <c r="D89" s="10" t="n">
        <v>1800</v>
      </c>
      <c r="E89" s="7">
        <f>C89*D89</f>
        <v/>
      </c>
    </row>
    <row r="90">
      <c r="A90" s="6" t="n">
        <v>5</v>
      </c>
      <c r="B90" s="6" t="inlineStr">
        <is>
          <t>Dec '26</t>
        </is>
      </c>
      <c r="C90" s="23" t="n">
        <v>1</v>
      </c>
      <c r="D90" s="10" t="n">
        <v>1800</v>
      </c>
      <c r="E90" s="7">
        <f>C90*D90</f>
        <v/>
      </c>
    </row>
    <row r="91">
      <c r="A91" s="6" t="n">
        <v>6</v>
      </c>
      <c r="B91" s="6" t="inlineStr">
        <is>
          <t>Jan '27</t>
        </is>
      </c>
      <c r="C91" s="23" t="n">
        <v>1</v>
      </c>
      <c r="D91" s="10" t="n">
        <v>1800</v>
      </c>
      <c r="E91" s="7">
        <f>C91*D91</f>
        <v/>
      </c>
    </row>
    <row r="92">
      <c r="A92" s="6" t="n">
        <v>7</v>
      </c>
      <c r="B92" s="6" t="inlineStr">
        <is>
          <t>Feb '27</t>
        </is>
      </c>
      <c r="C92" s="23" t="n">
        <v>0</v>
      </c>
      <c r="D92" s="10" t="n">
        <v>1800</v>
      </c>
      <c r="E92" s="7">
        <f>C92*D92</f>
        <v/>
      </c>
    </row>
    <row r="93">
      <c r="A93" s="6" t="n">
        <v>8</v>
      </c>
      <c r="B93" s="6" t="inlineStr">
        <is>
          <t>Mrt '27</t>
        </is>
      </c>
      <c r="C93" s="23" t="n">
        <v>1</v>
      </c>
      <c r="D93" s="10" t="n">
        <v>1800</v>
      </c>
      <c r="E93" s="7">
        <f>C93*D93</f>
        <v/>
      </c>
    </row>
    <row r="94">
      <c r="A94" s="6" t="n">
        <v>9</v>
      </c>
      <c r="B94" s="6" t="inlineStr">
        <is>
          <t>Apr '27</t>
        </is>
      </c>
      <c r="C94" s="23" t="n">
        <v>0</v>
      </c>
      <c r="D94" s="10" t="n">
        <v>1800</v>
      </c>
      <c r="E94" s="7">
        <f>C94*D94</f>
        <v/>
      </c>
    </row>
    <row r="95">
      <c r="A95" s="6" t="n">
        <v>10</v>
      </c>
      <c r="B95" s="6" t="inlineStr">
        <is>
          <t>Mei '27</t>
        </is>
      </c>
      <c r="C95" s="23" t="n">
        <v>1</v>
      </c>
      <c r="D95" s="10" t="n">
        <v>1800</v>
      </c>
      <c r="E95" s="7">
        <f>C95*D95</f>
        <v/>
      </c>
    </row>
    <row r="96">
      <c r="A96" s="6" t="n">
        <v>11</v>
      </c>
      <c r="B96" s="6" t="inlineStr">
        <is>
          <t>Jun '27</t>
        </is>
      </c>
      <c r="C96" s="23" t="n">
        <v>1</v>
      </c>
      <c r="D96" s="10" t="n">
        <v>1800</v>
      </c>
      <c r="E96" s="7">
        <f>C96*D96</f>
        <v/>
      </c>
    </row>
    <row r="97">
      <c r="A97" s="6" t="n">
        <v>12</v>
      </c>
      <c r="B97" s="6" t="inlineStr">
        <is>
          <t>Jul '27</t>
        </is>
      </c>
      <c r="C97" s="23" t="n">
        <v>1</v>
      </c>
      <c r="D97" s="10" t="n">
        <v>1800</v>
      </c>
      <c r="E97" s="7">
        <f>C97*D97</f>
        <v/>
      </c>
    </row>
    <row r="98">
      <c r="A98" s="8" t="inlineStr"/>
      <c r="B98" s="8" t="inlineStr">
        <is>
          <t>TOTAAL</t>
        </is>
      </c>
      <c r="C98" s="8">
        <f>SUM(C86:C97)</f>
        <v/>
      </c>
      <c r="D98" s="24" t="n"/>
      <c r="E98" s="9">
        <f>SUM(E86:E97)</f>
        <v/>
      </c>
    </row>
    <row r="101">
      <c r="A101" s="4" t="inlineStr">
        <is>
          <t>TOTALE OMZET ALLE CATEGORIEEN</t>
        </is>
      </c>
      <c r="C101" s="25" t="n"/>
      <c r="D101" s="25" t="n"/>
      <c r="E101" s="26">
        <f>E18+E36+E54+E72+E90+E108</f>
        <v/>
      </c>
    </row>
  </sheetData>
  <mergeCells count="9">
    <mergeCell ref="A101:B101"/>
    <mergeCell ref="A4:E4"/>
    <mergeCell ref="A20:E20"/>
    <mergeCell ref="A2:E2"/>
    <mergeCell ref="A52:E52"/>
    <mergeCell ref="A68:E68"/>
    <mergeCell ref="A1:E1"/>
    <mergeCell ref="A84:E84"/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HES Cashflow Prognose 2026-2027</t>
        </is>
      </c>
    </row>
    <row r="2">
      <c r="A2" s="21" t="inlineStr">
        <is>
          <t>Alle bedragen in EUR — gele cellen = zelf aanpassen</t>
        </is>
      </c>
    </row>
    <row r="4">
      <c r="A4" s="12" t="inlineStr">
        <is>
          <t>Startkapitaal</t>
        </is>
      </c>
      <c r="B4" s="10" t="n">
        <v>100000</v>
      </c>
      <c r="C4" s="27" t="inlineStr">
        <is>
          <t>← Pas aan naar jullie startbedrag</t>
        </is>
      </c>
    </row>
    <row r="6">
      <c r="A6" s="22" t="inlineStr"/>
      <c r="B6" s="22" t="inlineStr">
        <is>
          <t>Aug '26</t>
        </is>
      </c>
      <c r="C6" s="22" t="inlineStr">
        <is>
          <t>Sep '26</t>
        </is>
      </c>
      <c r="D6" s="22" t="inlineStr">
        <is>
          <t>Okt '26</t>
        </is>
      </c>
      <c r="E6" s="22" t="inlineStr">
        <is>
          <t>Nov '26</t>
        </is>
      </c>
      <c r="F6" s="22" t="inlineStr">
        <is>
          <t>Dec '26</t>
        </is>
      </c>
      <c r="G6" s="22" t="inlineStr">
        <is>
          <t>Jan '27</t>
        </is>
      </c>
      <c r="H6" s="22" t="inlineStr">
        <is>
          <t>Feb '27</t>
        </is>
      </c>
      <c r="I6" s="22" t="inlineStr">
        <is>
          <t>Mrt '27</t>
        </is>
      </c>
      <c r="J6" s="22" t="inlineStr">
        <is>
          <t>Apr '27</t>
        </is>
      </c>
      <c r="K6" s="22" t="inlineStr">
        <is>
          <t>Mei '27</t>
        </is>
      </c>
      <c r="L6" s="22" t="inlineStr">
        <is>
          <t>Jun '27</t>
        </is>
      </c>
      <c r="M6" s="22" t="inlineStr">
        <is>
          <t>Jul '27</t>
        </is>
      </c>
    </row>
    <row r="7">
      <c r="A7" s="5" t="inlineStr">
        <is>
          <t>INKOMSTEN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</row>
    <row r="8">
      <c r="A8" s="6" t="inlineStr">
        <is>
          <t>Batterijsystemen</t>
        </is>
      </c>
      <c r="B8" s="7">
        <f>'Verkoopprognose'!E18</f>
        <v/>
      </c>
      <c r="C8" s="7">
        <f>'Verkoopprognose'!E18</f>
        <v/>
      </c>
      <c r="D8" s="7">
        <f>'Verkoopprognose'!E18</f>
        <v/>
      </c>
      <c r="E8" s="7">
        <f>'Verkoopprognose'!E18</f>
        <v/>
      </c>
      <c r="F8" s="7">
        <f>'Verkoopprognose'!E18</f>
        <v/>
      </c>
      <c r="G8" s="7">
        <f>'Verkoopprognose'!E18</f>
        <v/>
      </c>
      <c r="H8" s="7">
        <f>'Verkoopprognose'!E18</f>
        <v/>
      </c>
      <c r="I8" s="7">
        <f>'Verkoopprognose'!E18</f>
        <v/>
      </c>
      <c r="J8" s="7">
        <f>'Verkoopprognose'!E18</f>
        <v/>
      </c>
      <c r="K8" s="7">
        <f>'Verkoopprognose'!E18</f>
        <v/>
      </c>
      <c r="L8" s="7">
        <f>'Verkoopprognose'!E18</f>
        <v/>
      </c>
      <c r="M8" s="7">
        <f>'Verkoopprognose'!E18</f>
        <v/>
      </c>
    </row>
    <row r="9">
      <c r="A9" s="6" t="inlineStr">
        <is>
          <t>AC Laadpalen</t>
        </is>
      </c>
      <c r="B9" s="7">
        <f>'Verkoopprognose'!E36</f>
        <v/>
      </c>
      <c r="C9" s="7">
        <f>'Verkoopprognose'!E36</f>
        <v/>
      </c>
      <c r="D9" s="7">
        <f>'Verkoopprognose'!E36</f>
        <v/>
      </c>
      <c r="E9" s="7">
        <f>'Verkoopprognose'!E36</f>
        <v/>
      </c>
      <c r="F9" s="7">
        <f>'Verkoopprognose'!E36</f>
        <v/>
      </c>
      <c r="G9" s="7">
        <f>'Verkoopprognose'!E36</f>
        <v/>
      </c>
      <c r="H9" s="7">
        <f>'Verkoopprognose'!E36</f>
        <v/>
      </c>
      <c r="I9" s="7">
        <f>'Verkoopprognose'!E36</f>
        <v/>
      </c>
      <c r="J9" s="7">
        <f>'Verkoopprognose'!E36</f>
        <v/>
      </c>
      <c r="K9" s="7">
        <f>'Verkoopprognose'!E36</f>
        <v/>
      </c>
      <c r="L9" s="7">
        <f>'Verkoopprognose'!E36</f>
        <v/>
      </c>
      <c r="M9" s="7">
        <f>'Verkoopprognose'!E36</f>
        <v/>
      </c>
    </row>
    <row r="10">
      <c r="A10" s="6" t="inlineStr">
        <is>
          <t>DC Snelladers</t>
        </is>
      </c>
      <c r="B10" s="7">
        <f>'Verkoopprognose'!E54</f>
        <v/>
      </c>
      <c r="C10" s="7">
        <f>'Verkoopprognose'!E54</f>
        <v/>
      </c>
      <c r="D10" s="7">
        <f>'Verkoopprognose'!E54</f>
        <v/>
      </c>
      <c r="E10" s="7">
        <f>'Verkoopprognose'!E54</f>
        <v/>
      </c>
      <c r="F10" s="7">
        <f>'Verkoopprognose'!E54</f>
        <v/>
      </c>
      <c r="G10" s="7">
        <f>'Verkoopprognose'!E54</f>
        <v/>
      </c>
      <c r="H10" s="7">
        <f>'Verkoopprognose'!E54</f>
        <v/>
      </c>
      <c r="I10" s="7">
        <f>'Verkoopprognose'!E54</f>
        <v/>
      </c>
      <c r="J10" s="7">
        <f>'Verkoopprognose'!E54</f>
        <v/>
      </c>
      <c r="K10" s="7">
        <f>'Verkoopprognose'!E54</f>
        <v/>
      </c>
      <c r="L10" s="7">
        <f>'Verkoopprognose'!E54</f>
        <v/>
      </c>
      <c r="M10" s="7">
        <f>'Verkoopprognose'!E54</f>
        <v/>
      </c>
    </row>
    <row r="11">
      <c r="A11" s="6" t="inlineStr">
        <is>
          <t>Laadopbrengst kWh</t>
        </is>
      </c>
      <c r="B11" s="7">
        <f>Budget!B9</f>
        <v/>
      </c>
      <c r="C11" s="7">
        <f>Budget!C9</f>
        <v/>
      </c>
      <c r="D11" s="7">
        <f>Budget!D9</f>
        <v/>
      </c>
      <c r="E11" s="7">
        <f>Budget!E9</f>
        <v/>
      </c>
      <c r="F11" s="7">
        <f>Budget!F9</f>
        <v/>
      </c>
      <c r="G11" s="7">
        <f>Budget!G9</f>
        <v/>
      </c>
      <c r="H11" s="7">
        <f>Budget!H9</f>
        <v/>
      </c>
      <c r="I11" s="7">
        <f>Budget!I9</f>
        <v/>
      </c>
      <c r="J11" s="7">
        <f>Budget!J9</f>
        <v/>
      </c>
      <c r="K11" s="7">
        <f>Budget!K9</f>
        <v/>
      </c>
      <c r="L11" s="7">
        <f>Budget!L9</f>
        <v/>
      </c>
      <c r="M11" s="7">
        <f>Budget!M9</f>
        <v/>
      </c>
    </row>
    <row r="12">
      <c r="A12" s="6" t="inlineStr">
        <is>
          <t>Support &amp; onderhoud</t>
        </is>
      </c>
      <c r="B12" s="7">
        <f>Budget!B10</f>
        <v/>
      </c>
      <c r="C12" s="7">
        <f>Budget!C10</f>
        <v/>
      </c>
      <c r="D12" s="7">
        <f>Budget!D10</f>
        <v/>
      </c>
      <c r="E12" s="7">
        <f>Budget!E10</f>
        <v/>
      </c>
      <c r="F12" s="7">
        <f>Budget!F10</f>
        <v/>
      </c>
      <c r="G12" s="7">
        <f>Budget!G10</f>
        <v/>
      </c>
      <c r="H12" s="7">
        <f>Budget!H10</f>
        <v/>
      </c>
      <c r="I12" s="7">
        <f>Budget!I10</f>
        <v/>
      </c>
      <c r="J12" s="7">
        <f>Budget!J10</f>
        <v/>
      </c>
      <c r="K12" s="7">
        <f>Budget!K10</f>
        <v/>
      </c>
      <c r="L12" s="7">
        <f>Budget!L10</f>
        <v/>
      </c>
      <c r="M12" s="7">
        <f>Budget!M10</f>
        <v/>
      </c>
    </row>
    <row r="13">
      <c r="A13" s="6" t="inlineStr">
        <is>
          <t>Onderdelen</t>
        </is>
      </c>
      <c r="B13" s="7">
        <f>Budget!B11</f>
        <v/>
      </c>
      <c r="C13" s="7">
        <f>Budget!C11</f>
        <v/>
      </c>
      <c r="D13" s="7">
        <f>Budget!D11</f>
        <v/>
      </c>
      <c r="E13" s="7">
        <f>Budget!E11</f>
        <v/>
      </c>
      <c r="F13" s="7">
        <f>Budget!F11</f>
        <v/>
      </c>
      <c r="G13" s="7">
        <f>Budget!G11</f>
        <v/>
      </c>
      <c r="H13" s="7">
        <f>Budget!H11</f>
        <v/>
      </c>
      <c r="I13" s="7">
        <f>Budget!I11</f>
        <v/>
      </c>
      <c r="J13" s="7">
        <f>Budget!J11</f>
        <v/>
      </c>
      <c r="K13" s="7">
        <f>Budget!K11</f>
        <v/>
      </c>
      <c r="L13" s="7">
        <f>Budget!L11</f>
        <v/>
      </c>
      <c r="M13" s="7">
        <f>Budget!M11</f>
        <v/>
      </c>
    </row>
    <row r="14">
      <c r="A14" s="6" t="inlineStr">
        <is>
          <t>Kickback zonnepanelen</t>
        </is>
      </c>
      <c r="B14" s="7">
        <f>'Verkoopprognose'!E90</f>
        <v/>
      </c>
      <c r="C14" s="7">
        <f>'Verkoopprognose'!E90</f>
        <v/>
      </c>
      <c r="D14" s="7">
        <f>'Verkoopprognose'!E90</f>
        <v/>
      </c>
      <c r="E14" s="7">
        <f>'Verkoopprognose'!E90</f>
        <v/>
      </c>
      <c r="F14" s="7">
        <f>'Verkoopprognose'!E90</f>
        <v/>
      </c>
      <c r="G14" s="7">
        <f>'Verkoopprognose'!E90</f>
        <v/>
      </c>
      <c r="H14" s="7">
        <f>'Verkoopprognose'!E90</f>
        <v/>
      </c>
      <c r="I14" s="7">
        <f>'Verkoopprognose'!E90</f>
        <v/>
      </c>
      <c r="J14" s="7">
        <f>'Verkoopprognose'!E90</f>
        <v/>
      </c>
      <c r="K14" s="7">
        <f>'Verkoopprognose'!E90</f>
        <v/>
      </c>
      <c r="L14" s="7">
        <f>'Verkoopprognose'!E90</f>
        <v/>
      </c>
      <c r="M14" s="7">
        <f>'Verkoopprognose'!E90</f>
        <v/>
      </c>
    </row>
    <row r="15">
      <c r="A15" s="6" t="inlineStr">
        <is>
          <t>Extra garantie</t>
        </is>
      </c>
      <c r="B15" s="7">
        <f>'Verkoopprognose'!E108</f>
        <v/>
      </c>
      <c r="C15" s="7">
        <f>'Verkoopprognose'!E108</f>
        <v/>
      </c>
      <c r="D15" s="7">
        <f>'Verkoopprognose'!E108</f>
        <v/>
      </c>
      <c r="E15" s="7">
        <f>'Verkoopprognose'!E108</f>
        <v/>
      </c>
      <c r="F15" s="7">
        <f>'Verkoopprognose'!E108</f>
        <v/>
      </c>
      <c r="G15" s="7">
        <f>'Verkoopprognose'!E108</f>
        <v/>
      </c>
      <c r="H15" s="7">
        <f>'Verkoopprognose'!E108</f>
        <v/>
      </c>
      <c r="I15" s="7">
        <f>'Verkoopprognose'!E108</f>
        <v/>
      </c>
      <c r="J15" s="7">
        <f>'Verkoopprognose'!E108</f>
        <v/>
      </c>
      <c r="K15" s="7">
        <f>'Verkoopprognose'!E108</f>
        <v/>
      </c>
      <c r="L15" s="7">
        <f>'Verkoopprognose'!E108</f>
        <v/>
      </c>
      <c r="M15" s="7">
        <f>'Verkoopprognose'!E108</f>
        <v/>
      </c>
    </row>
    <row r="16">
      <c r="A16" s="8" t="inlineStr">
        <is>
          <t>TOTALE INKOMSTEN</t>
        </is>
      </c>
      <c r="B16" s="9">
        <f>SUM(B8:B15)</f>
        <v/>
      </c>
      <c r="C16" s="9">
        <f>SUM(C8:C15)</f>
        <v/>
      </c>
      <c r="D16" s="9">
        <f>SUM(D8:D15)</f>
        <v/>
      </c>
      <c r="E16" s="9">
        <f>SUM(E8:E15)</f>
        <v/>
      </c>
      <c r="F16" s="9">
        <f>SUM(F8:F15)</f>
        <v/>
      </c>
      <c r="G16" s="9">
        <f>SUM(G8:G15)</f>
        <v/>
      </c>
      <c r="H16" s="9">
        <f>SUM(H8:H15)</f>
        <v/>
      </c>
      <c r="I16" s="9">
        <f>SUM(I8:I15)</f>
        <v/>
      </c>
      <c r="J16" s="9">
        <f>SUM(J8:J15)</f>
        <v/>
      </c>
      <c r="K16" s="9">
        <f>SUM(K8:K15)</f>
        <v/>
      </c>
      <c r="L16" s="9">
        <f>SUM(L8:L15)</f>
        <v/>
      </c>
      <c r="M16" s="9">
        <f>SUM(M8:M15)</f>
        <v/>
      </c>
    </row>
    <row r="18">
      <c r="A18" s="5" t="inlineStr">
        <is>
          <t>UITGAVEN</t>
        </is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</row>
    <row r="19">
      <c r="A19" s="6" t="inlineStr">
        <is>
          <t>Inkoop batterijen</t>
        </is>
      </c>
      <c r="B19" s="7">
        <f>Budget!B17</f>
        <v/>
      </c>
      <c r="C19" s="7">
        <f>Budget!C17</f>
        <v/>
      </c>
      <c r="D19" s="7">
        <f>Budget!D17</f>
        <v/>
      </c>
      <c r="E19" s="7">
        <f>Budget!E17</f>
        <v/>
      </c>
      <c r="F19" s="7">
        <f>Budget!F17</f>
        <v/>
      </c>
      <c r="G19" s="7">
        <f>Budget!G17</f>
        <v/>
      </c>
      <c r="H19" s="7">
        <f>Budget!H17</f>
        <v/>
      </c>
      <c r="I19" s="7">
        <f>Budget!I17</f>
        <v/>
      </c>
      <c r="J19" s="7">
        <f>Budget!J17</f>
        <v/>
      </c>
      <c r="K19" s="7">
        <f>Budget!K17</f>
        <v/>
      </c>
      <c r="L19" s="7">
        <f>Budget!L17</f>
        <v/>
      </c>
      <c r="M19" s="7">
        <f>Budget!M17</f>
        <v/>
      </c>
    </row>
    <row r="20">
      <c r="A20" s="6" t="inlineStr">
        <is>
          <t>Inkoop AC laders</t>
        </is>
      </c>
      <c r="B20" s="7">
        <f>Budget!B18</f>
        <v/>
      </c>
      <c r="C20" s="7">
        <f>Budget!C18</f>
        <v/>
      </c>
      <c r="D20" s="7">
        <f>Budget!D18</f>
        <v/>
      </c>
      <c r="E20" s="7">
        <f>Budget!E18</f>
        <v/>
      </c>
      <c r="F20" s="7">
        <f>Budget!F18</f>
        <v/>
      </c>
      <c r="G20" s="7">
        <f>Budget!G18</f>
        <v/>
      </c>
      <c r="H20" s="7">
        <f>Budget!H18</f>
        <v/>
      </c>
      <c r="I20" s="7">
        <f>Budget!I18</f>
        <v/>
      </c>
      <c r="J20" s="7">
        <f>Budget!J18</f>
        <v/>
      </c>
      <c r="K20" s="7">
        <f>Budget!K18</f>
        <v/>
      </c>
      <c r="L20" s="7">
        <f>Budget!L18</f>
        <v/>
      </c>
      <c r="M20" s="7">
        <f>Budget!M18</f>
        <v/>
      </c>
    </row>
    <row r="21">
      <c r="A21" s="6" t="inlineStr">
        <is>
          <t>Inkoop DC snelladers</t>
        </is>
      </c>
      <c r="B21" s="7">
        <f>Budget!B19</f>
        <v/>
      </c>
      <c r="C21" s="7">
        <f>Budget!C19</f>
        <v/>
      </c>
      <c r="D21" s="7">
        <f>Budget!D19</f>
        <v/>
      </c>
      <c r="E21" s="7">
        <f>Budget!E19</f>
        <v/>
      </c>
      <c r="F21" s="7">
        <f>Budget!F19</f>
        <v/>
      </c>
      <c r="G21" s="7">
        <f>Budget!G19</f>
        <v/>
      </c>
      <c r="H21" s="7">
        <f>Budget!H19</f>
        <v/>
      </c>
      <c r="I21" s="7">
        <f>Budget!I19</f>
        <v/>
      </c>
      <c r="J21" s="7">
        <f>Budget!J19</f>
        <v/>
      </c>
      <c r="K21" s="7">
        <f>Budget!K19</f>
        <v/>
      </c>
      <c r="L21" s="7">
        <f>Budget!L19</f>
        <v/>
      </c>
      <c r="M21" s="7">
        <f>Budget!M19</f>
        <v/>
      </c>
    </row>
    <row r="22">
      <c r="A22" s="6" t="inlineStr">
        <is>
          <t>Installatie &amp; logistiek</t>
        </is>
      </c>
      <c r="B22" s="7">
        <f>Budget!B20</f>
        <v/>
      </c>
      <c r="C22" s="7">
        <f>Budget!C20</f>
        <v/>
      </c>
      <c r="D22" s="7">
        <f>Budget!D20</f>
        <v/>
      </c>
      <c r="E22" s="7">
        <f>Budget!E20</f>
        <v/>
      </c>
      <c r="F22" s="7">
        <f>Budget!F20</f>
        <v/>
      </c>
      <c r="G22" s="7">
        <f>Budget!G20</f>
        <v/>
      </c>
      <c r="H22" s="7">
        <f>Budget!H20</f>
        <v/>
      </c>
      <c r="I22" s="7">
        <f>Budget!I20</f>
        <v/>
      </c>
      <c r="J22" s="7">
        <f>Budget!J20</f>
        <v/>
      </c>
      <c r="K22" s="7">
        <f>Budget!K20</f>
        <v/>
      </c>
      <c r="L22" s="7">
        <f>Budget!L20</f>
        <v/>
      </c>
      <c r="M22" s="7">
        <f>Budget!M20</f>
        <v/>
      </c>
    </row>
    <row r="23">
      <c r="A23" s="6" t="inlineStr">
        <is>
          <t>Personeel</t>
        </is>
      </c>
      <c r="B23" s="7">
        <f>Budget!B21</f>
        <v/>
      </c>
      <c r="C23" s="7">
        <f>Budget!C21</f>
        <v/>
      </c>
      <c r="D23" s="7">
        <f>Budget!D21</f>
        <v/>
      </c>
      <c r="E23" s="7">
        <f>Budget!E21</f>
        <v/>
      </c>
      <c r="F23" s="7">
        <f>Budget!F21</f>
        <v/>
      </c>
      <c r="G23" s="7">
        <f>Budget!G21</f>
        <v/>
      </c>
      <c r="H23" s="7">
        <f>Budget!H21</f>
        <v/>
      </c>
      <c r="I23" s="7">
        <f>Budget!I21</f>
        <v/>
      </c>
      <c r="J23" s="7">
        <f>Budget!J21</f>
        <v/>
      </c>
      <c r="K23" s="7">
        <f>Budget!K21</f>
        <v/>
      </c>
      <c r="L23" s="7">
        <f>Budget!L21</f>
        <v/>
      </c>
      <c r="M23" s="7">
        <f>Budget!M21</f>
        <v/>
      </c>
    </row>
    <row r="24">
      <c r="A24" s="6" t="inlineStr">
        <is>
          <t>Marketing &amp; sales</t>
        </is>
      </c>
      <c r="B24" s="7">
        <f>Budget!B22</f>
        <v/>
      </c>
      <c r="C24" s="7">
        <f>Budget!C22</f>
        <v/>
      </c>
      <c r="D24" s="7">
        <f>Budget!D22</f>
        <v/>
      </c>
      <c r="E24" s="7">
        <f>Budget!E22</f>
        <v/>
      </c>
      <c r="F24" s="7">
        <f>Budget!F22</f>
        <v/>
      </c>
      <c r="G24" s="7">
        <f>Budget!G22</f>
        <v/>
      </c>
      <c r="H24" s="7">
        <f>Budget!H22</f>
        <v/>
      </c>
      <c r="I24" s="7">
        <f>Budget!I22</f>
        <v/>
      </c>
      <c r="J24" s="7">
        <f>Budget!J22</f>
        <v/>
      </c>
      <c r="K24" s="7">
        <f>Budget!K22</f>
        <v/>
      </c>
      <c r="L24" s="7">
        <f>Budget!L22</f>
        <v/>
      </c>
      <c r="M24" s="7">
        <f>Budget!M22</f>
        <v/>
      </c>
    </row>
    <row r="25">
      <c r="A25" s="6" t="inlineStr">
        <is>
          <t>Kantoor &amp; operations</t>
        </is>
      </c>
      <c r="B25" s="7">
        <f>Budget!B23</f>
        <v/>
      </c>
      <c r="C25" s="7">
        <f>Budget!C23</f>
        <v/>
      </c>
      <c r="D25" s="7">
        <f>Budget!D23</f>
        <v/>
      </c>
      <c r="E25" s="7">
        <f>Budget!E23</f>
        <v/>
      </c>
      <c r="F25" s="7">
        <f>Budget!F23</f>
        <v/>
      </c>
      <c r="G25" s="7">
        <f>Budget!G23</f>
        <v/>
      </c>
      <c r="H25" s="7">
        <f>Budget!H23</f>
        <v/>
      </c>
      <c r="I25" s="7">
        <f>Budget!I23</f>
        <v/>
      </c>
      <c r="J25" s="7">
        <f>Budget!J23</f>
        <v/>
      </c>
      <c r="K25" s="7">
        <f>Budget!K23</f>
        <v/>
      </c>
      <c r="L25" s="7">
        <f>Budget!L23</f>
        <v/>
      </c>
      <c r="M25" s="7">
        <f>Budget!M23</f>
        <v/>
      </c>
    </row>
    <row r="26">
      <c r="A26" s="6" t="inlineStr">
        <is>
          <t>Software, tools &amp; IT</t>
        </is>
      </c>
      <c r="B26" s="7">
        <f>Budget!B24</f>
        <v/>
      </c>
      <c r="C26" s="7">
        <f>Budget!C24</f>
        <v/>
      </c>
      <c r="D26" s="7">
        <f>Budget!D24</f>
        <v/>
      </c>
      <c r="E26" s="7">
        <f>Budget!E24</f>
        <v/>
      </c>
      <c r="F26" s="7">
        <f>Budget!F24</f>
        <v/>
      </c>
      <c r="G26" s="7">
        <f>Budget!G24</f>
        <v/>
      </c>
      <c r="H26" s="7">
        <f>Budget!H24</f>
        <v/>
      </c>
      <c r="I26" s="7">
        <f>Budget!I24</f>
        <v/>
      </c>
      <c r="J26" s="7">
        <f>Budget!J24</f>
        <v/>
      </c>
      <c r="K26" s="7">
        <f>Budget!K24</f>
        <v/>
      </c>
      <c r="L26" s="7">
        <f>Budget!L24</f>
        <v/>
      </c>
      <c r="M26" s="7">
        <f>Budget!M24</f>
        <v/>
      </c>
    </row>
    <row r="27">
      <c r="A27" s="6" t="inlineStr">
        <is>
          <t>Verzekeringen</t>
        </is>
      </c>
      <c r="B27" s="7">
        <f>Budget!B25</f>
        <v/>
      </c>
      <c r="C27" s="7">
        <f>Budget!C25</f>
        <v/>
      </c>
      <c r="D27" s="7">
        <f>Budget!D25</f>
        <v/>
      </c>
      <c r="E27" s="7">
        <f>Budget!E25</f>
        <v/>
      </c>
      <c r="F27" s="7">
        <f>Budget!F25</f>
        <v/>
      </c>
      <c r="G27" s="7">
        <f>Budget!G25</f>
        <v/>
      </c>
      <c r="H27" s="7">
        <f>Budget!H25</f>
        <v/>
      </c>
      <c r="I27" s="7">
        <f>Budget!I25</f>
        <v/>
      </c>
      <c r="J27" s="7">
        <f>Budget!J25</f>
        <v/>
      </c>
      <c r="K27" s="7">
        <f>Budget!K25</f>
        <v/>
      </c>
      <c r="L27" s="7">
        <f>Budget!L25</f>
        <v/>
      </c>
      <c r="M27" s="7">
        <f>Budget!M25</f>
        <v/>
      </c>
    </row>
    <row r="28">
      <c r="A28" s="6" t="inlineStr">
        <is>
          <t>Onvoorzien</t>
        </is>
      </c>
      <c r="B28" s="7">
        <f>Budget!B26</f>
        <v/>
      </c>
      <c r="C28" s="7">
        <f>Budget!C26</f>
        <v/>
      </c>
      <c r="D28" s="7">
        <f>Budget!D26</f>
        <v/>
      </c>
      <c r="E28" s="7">
        <f>Budget!E26</f>
        <v/>
      </c>
      <c r="F28" s="7">
        <f>Budget!F26</f>
        <v/>
      </c>
      <c r="G28" s="7">
        <f>Budget!G26</f>
        <v/>
      </c>
      <c r="H28" s="7">
        <f>Budget!H26</f>
        <v/>
      </c>
      <c r="I28" s="7">
        <f>Budget!I26</f>
        <v/>
      </c>
      <c r="J28" s="7">
        <f>Budget!J26</f>
        <v/>
      </c>
      <c r="K28" s="7">
        <f>Budget!K26</f>
        <v/>
      </c>
      <c r="L28" s="7">
        <f>Budget!L26</f>
        <v/>
      </c>
      <c r="M28" s="7">
        <f>Budget!M26</f>
        <v/>
      </c>
    </row>
    <row r="29">
      <c r="A29" s="8" t="inlineStr">
        <is>
          <t>TOTALE UITGAVEN</t>
        </is>
      </c>
      <c r="B29" s="9">
        <f>SUM(B19:B28)</f>
        <v/>
      </c>
      <c r="C29" s="9">
        <f>SUM(C19:C28)</f>
        <v/>
      </c>
      <c r="D29" s="9">
        <f>SUM(D19:D28)</f>
        <v/>
      </c>
      <c r="E29" s="9">
        <f>SUM(E19:E28)</f>
        <v/>
      </c>
      <c r="F29" s="9">
        <f>SUM(F19:F28)</f>
        <v/>
      </c>
      <c r="G29" s="9">
        <f>SUM(G19:G28)</f>
        <v/>
      </c>
      <c r="H29" s="9">
        <f>SUM(H19:H28)</f>
        <v/>
      </c>
      <c r="I29" s="9">
        <f>SUM(I19:I28)</f>
        <v/>
      </c>
      <c r="J29" s="9">
        <f>SUM(J19:J28)</f>
        <v/>
      </c>
      <c r="K29" s="9">
        <f>SUM(K19:K28)</f>
        <v/>
      </c>
      <c r="L29" s="9">
        <f>SUM(L19:L28)</f>
        <v/>
      </c>
      <c r="M29" s="9">
        <f>SUM(M19:M28)</f>
        <v/>
      </c>
    </row>
    <row r="31">
      <c r="A31" s="5" t="inlineStr">
        <is>
          <t>BTW (21%)</t>
        </is>
      </c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</row>
    <row r="32">
      <c r="A32" s="6" t="inlineStr">
        <is>
          <t>BTW op verkopen (te ontvangen)</t>
        </is>
      </c>
      <c r="B32" s="7">
        <f>0.21*B16</f>
        <v/>
      </c>
      <c r="C32" s="7">
        <f>0.21*C16</f>
        <v/>
      </c>
      <c r="D32" s="7">
        <f>0.21*D16</f>
        <v/>
      </c>
      <c r="E32" s="7">
        <f>0.21*E16</f>
        <v/>
      </c>
      <c r="F32" s="7">
        <f>0.21*F16</f>
        <v/>
      </c>
      <c r="G32" s="7">
        <f>0.21*G16</f>
        <v/>
      </c>
      <c r="H32" s="7">
        <f>0.21*H16</f>
        <v/>
      </c>
      <c r="I32" s="7">
        <f>0.21*I16</f>
        <v/>
      </c>
      <c r="J32" s="7">
        <f>0.21*J16</f>
        <v/>
      </c>
      <c r="K32" s="7">
        <f>0.21*K16</f>
        <v/>
      </c>
      <c r="L32" s="7">
        <f>0.21*L16</f>
        <v/>
      </c>
      <c r="M32" s="7">
        <f>0.21*M16</f>
        <v/>
      </c>
    </row>
    <row r="33">
      <c r="A33" s="6" t="inlineStr">
        <is>
          <t>BTW op inkopen (terug te vragen)</t>
        </is>
      </c>
      <c r="B33" s="7">
        <f>0.21*(B19+B20+B21+B22)</f>
        <v/>
      </c>
      <c r="C33" s="7">
        <f>0.21*(C19+C20+C21+C22)</f>
        <v/>
      </c>
      <c r="D33" s="7">
        <f>0.21*(D19+D20+D21+D22)</f>
        <v/>
      </c>
      <c r="E33" s="7">
        <f>0.21*(E19+E20+E21+E22)</f>
        <v/>
      </c>
      <c r="F33" s="7">
        <f>0.21*(F19+F20+F21+F22)</f>
        <v/>
      </c>
      <c r="G33" s="7">
        <f>0.21*(G19+G20+G21+G22)</f>
        <v/>
      </c>
      <c r="H33" s="7">
        <f>0.21*(H19+H20+H21+H22)</f>
        <v/>
      </c>
      <c r="I33" s="7">
        <f>0.21*(I19+I20+I21+I22)</f>
        <v/>
      </c>
      <c r="J33" s="7">
        <f>0.21*(J19+J20+J21+J22)</f>
        <v/>
      </c>
      <c r="K33" s="7">
        <f>0.21*(K19+K20+K21+K22)</f>
        <v/>
      </c>
      <c r="L33" s="7">
        <f>0.21*(L19+L20+L21+L22)</f>
        <v/>
      </c>
      <c r="M33" s="7">
        <f>0.21*(M19+M20+M21+M22)</f>
        <v/>
      </c>
    </row>
    <row r="34">
      <c r="A34" s="8" t="inlineStr">
        <is>
          <t>BTW saldo (af te dragen)</t>
        </is>
      </c>
      <c r="B34" s="28">
        <f>B32-B33</f>
        <v/>
      </c>
      <c r="C34" s="28">
        <f>C32-C33</f>
        <v/>
      </c>
      <c r="D34" s="28">
        <f>D32-D33</f>
        <v/>
      </c>
      <c r="E34" s="28">
        <f>E32-E33</f>
        <v/>
      </c>
      <c r="F34" s="28">
        <f>F32-F33</f>
        <v/>
      </c>
      <c r="G34" s="28">
        <f>G32-G33</f>
        <v/>
      </c>
      <c r="H34" s="28">
        <f>H32-H33</f>
        <v/>
      </c>
      <c r="I34" s="28">
        <f>I32-I33</f>
        <v/>
      </c>
      <c r="J34" s="28">
        <f>J32-J33</f>
        <v/>
      </c>
      <c r="K34" s="28">
        <f>K32-K33</f>
        <v/>
      </c>
      <c r="L34" s="28">
        <f>L32-L33</f>
        <v/>
      </c>
      <c r="M34" s="28">
        <f>M32-M33</f>
        <v/>
      </c>
    </row>
    <row r="36">
      <c r="A36" s="4" t="inlineStr">
        <is>
          <t>NETTO CASHFLOW</t>
        </is>
      </c>
      <c r="B36" s="11">
        <f>B16-B29-B34</f>
        <v/>
      </c>
      <c r="C36" s="11">
        <f>C16-C29-C34</f>
        <v/>
      </c>
      <c r="D36" s="11">
        <f>D16-D29-D34</f>
        <v/>
      </c>
      <c r="E36" s="11">
        <f>E16-E29-E34</f>
        <v/>
      </c>
      <c r="F36" s="11">
        <f>F16-F29-F34</f>
        <v/>
      </c>
      <c r="G36" s="11">
        <f>G16-G29-G34</f>
        <v/>
      </c>
      <c r="H36" s="11">
        <f>H16-H29-H34</f>
        <v/>
      </c>
      <c r="I36" s="11">
        <f>I16-I29-I34</f>
        <v/>
      </c>
      <c r="J36" s="11">
        <f>J16-J29-J34</f>
        <v/>
      </c>
      <c r="K36" s="11">
        <f>K16-K29-K34</f>
        <v/>
      </c>
      <c r="L36" s="11">
        <f>L16-L29-L34</f>
        <v/>
      </c>
      <c r="M36" s="11">
        <f>M16-M29-M34</f>
        <v/>
      </c>
    </row>
    <row r="37">
      <c r="A37" s="12" t="inlineStr">
        <is>
          <t>Cumulatieve cashflow</t>
        </is>
      </c>
      <c r="B37" s="14">
        <f>B4+B36</f>
        <v/>
      </c>
      <c r="C37" s="14">
        <f>B37+C36</f>
        <v/>
      </c>
      <c r="D37" s="14">
        <f>C37+D36</f>
        <v/>
      </c>
      <c r="E37" s="14">
        <f>D37+E36</f>
        <v/>
      </c>
      <c r="F37" s="14">
        <f>E37+F36</f>
        <v/>
      </c>
      <c r="G37" s="14">
        <f>F37+G36</f>
        <v/>
      </c>
      <c r="H37" s="14">
        <f>G37+H36</f>
        <v/>
      </c>
      <c r="I37" s="14">
        <f>H37+I36</f>
        <v/>
      </c>
      <c r="J37" s="14">
        <f>I37+J36</f>
        <v/>
      </c>
      <c r="K37" s="14">
        <f>J37+K36</f>
        <v/>
      </c>
      <c r="L37" s="14">
        <f>K37+L36</f>
        <v/>
      </c>
      <c r="M37" s="14">
        <f>L37+M36</f>
        <v/>
      </c>
    </row>
    <row r="38">
      <c r="A38" s="29" t="inlineStr">
        <is>
          <t>Kaspositie einde maand</t>
        </is>
      </c>
      <c r="B38" s="30">
        <f>B37</f>
        <v/>
      </c>
      <c r="C38" s="30">
        <f>C37</f>
        <v/>
      </c>
      <c r="D38" s="30">
        <f>D37</f>
        <v/>
      </c>
      <c r="E38" s="30">
        <f>E37</f>
        <v/>
      </c>
      <c r="F38" s="30">
        <f>F37</f>
        <v/>
      </c>
      <c r="G38" s="30">
        <f>G37</f>
        <v/>
      </c>
      <c r="H38" s="30">
        <f>H37</f>
        <v/>
      </c>
      <c r="I38" s="30">
        <f>I37</f>
        <v/>
      </c>
      <c r="J38" s="30">
        <f>J37</f>
        <v/>
      </c>
      <c r="K38" s="30">
        <f>K37</f>
        <v/>
      </c>
      <c r="L38" s="30">
        <f>L37</f>
        <v/>
      </c>
      <c r="M38" s="30">
        <f>M37</f>
        <v/>
      </c>
    </row>
    <row r="41">
      <c r="A41" s="15" t="inlineStr">
        <is>
          <t>Toelichting</t>
        </is>
      </c>
    </row>
    <row r="42">
      <c r="A42" s="2" t="inlineStr">
        <is>
          <t>Startkapitaal (B4): vul jullie eigen startbedrag in</t>
        </is>
      </c>
    </row>
    <row r="43">
      <c r="A43" s="2" t="inlineStr">
        <is>
          <t>Inkomsten komen uit Verkoopprognose en Budget sheets</t>
        </is>
      </c>
    </row>
    <row r="44">
      <c r="A44" s="2" t="inlineStr">
        <is>
          <t>Uitgaven komen uit de Kostensectie van Budget</t>
        </is>
      </c>
    </row>
    <row r="45">
      <c r="A45" s="2" t="inlineStr">
        <is>
          <t>BTW: 21% over hardware-verkopen minus BTW op inkopen</t>
        </is>
      </c>
    </row>
    <row r="46">
      <c r="A46" s="2" t="inlineStr">
        <is>
          <t>Kaspositie = startkapitaal + cumulatieve cashflow</t>
        </is>
      </c>
    </row>
    <row r="47">
      <c r="A47" s="2" t="inlineStr">
        <is>
          <t>Negatieve bedragen worden rood weergegeven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2026-08-03T13:38:18Z</dcterms:created>
  <dcterms:modified xmlns:dcterms="http://purl.org/dc/terms/" xmlns:xsi="http://www.w3.org/2001/XMLSchema-instance" xsi:type="dcterms:W3CDTF">2026-08-03T13:47:25Z</dcterms:modified>
</cp:coreProperties>
</file>