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nnames" sheetId="1" state="visible" r:id="rId1"/>
    <sheet xmlns:r="http://schemas.openxmlformats.org/officeDocument/2006/relationships" name="Kosten" sheetId="2" state="visible" r:id="rId2"/>
    <sheet xmlns:r="http://schemas.openxmlformats.org/officeDocument/2006/relationships" name="Verkoopprognose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EUR 0.00"/>
    <numFmt numFmtId="165" formatCode="0.0%"/>
    <numFmt numFmtId="166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0F3D23"/>
      <sz val="14"/>
    </font>
    <font>
      <name val="Arial"/>
      <i val="1"/>
      <color rgb="00666666"/>
      <sz val="9"/>
    </font>
    <font>
      <name val="Arial"/>
      <b val="1"/>
      <color rgb="000F3D23"/>
      <sz val="11"/>
    </font>
    <font>
      <name val="Arial"/>
      <color rgb="002F3437"/>
      <sz val="9"/>
    </font>
    <font>
      <name val="Arial"/>
      <color rgb="000000FF"/>
      <sz val="9"/>
    </font>
    <font>
      <name val="Arial"/>
      <color rgb="00999999"/>
      <sz val="8"/>
    </font>
    <font>
      <name val="Arial"/>
      <b val="1"/>
      <color rgb="00FFFFFF"/>
      <sz val="9"/>
    </font>
    <font>
      <name val="Arial"/>
      <b val="1"/>
      <color rgb="002F3437"/>
      <sz val="9"/>
    </font>
    <font>
      <name val="Arial"/>
      <b val="1"/>
      <color rgb="00FFFFFF"/>
      <sz val="10"/>
    </font>
    <font>
      <name val="Arial"/>
      <b val="1"/>
      <color rgb="000F3D23"/>
      <sz val="10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FF2CC"/>
        <bgColor rgb="00FFF2CC"/>
      </patternFill>
    </fill>
    <fill>
      <patternFill patternType="solid">
        <fgColor rgb="000F3D23"/>
        <bgColor rgb="000F3D23"/>
      </patternFill>
    </fill>
    <fill>
      <patternFill patternType="solid">
        <fgColor rgb="00F0F0F0"/>
        <bgColor rgb="00F0F0F0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3" fontId="5" fillId="3" borderId="0" pivotButton="0" quotePrefix="0" xfId="0"/>
    <xf numFmtId="0" fontId="6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0" fontId="7" fillId="4" borderId="0" pivotButton="0" quotePrefix="0" xfId="0"/>
    <xf numFmtId="0" fontId="5" fillId="3" borderId="0" pivotButton="0" quotePrefix="0" xfId="0"/>
    <xf numFmtId="3" fontId="4" fillId="0" borderId="0" pivotButton="0" quotePrefix="0" xfId="0"/>
    <xf numFmtId="0" fontId="0" fillId="5" borderId="0" pivotButton="0" quotePrefix="0" xfId="0"/>
    <xf numFmtId="0" fontId="8" fillId="5" borderId="0" pivotButton="0" quotePrefix="0" xfId="0"/>
    <xf numFmtId="3" fontId="8" fillId="5" borderId="0" pivotButton="0" quotePrefix="0" xfId="0"/>
    <xf numFmtId="0" fontId="9" fillId="4" borderId="0" pivotButton="0" quotePrefix="0" xfId="0"/>
    <xf numFmtId="0" fontId="0" fillId="4" borderId="0" pivotButton="0" quotePrefix="0" xfId="0"/>
    <xf numFmtId="3" fontId="9" fillId="4" borderId="0" pivotButton="0" quotePrefix="0" xfId="0"/>
    <xf numFmtId="166" fontId="9" fillId="4" borderId="0" pivotButton="0" quotePrefix="0" xfId="0"/>
    <xf numFmtId="0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3" fontId="8" fillId="0" borderId="0" pivotButton="0" quotePrefix="0" xfId="0"/>
    <xf numFmtId="166" fontId="8" fillId="5" borderId="0" pivotButton="0" quotePrefix="0" xfId="0"/>
    <xf numFmtId="0" fontId="10" fillId="6" borderId="0" pivotButton="0" quotePrefix="0" xfId="0"/>
    <xf numFmtId="166" fontId="10" fillId="6" borderId="0" pivotButton="0" quotePrefix="0" xfId="0"/>
    <xf numFmtId="3" fontId="4" fillId="3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2" customWidth="1" min="3" max="3"/>
  </cols>
  <sheetData>
    <row r="1">
      <c r="A1" s="1" t="inlineStr">
        <is>
          <t>AANNAMES — vul hier alle bedragen in</t>
        </is>
      </c>
    </row>
    <row r="2">
      <c r="A2" s="2" t="inlineStr">
        <is>
          <t>Gele cellen = zelf invullen. Alle andere sheets rekenen hierop door.</t>
        </is>
      </c>
    </row>
    <row r="3"/>
    <row r="4">
      <c r="A4" s="3" t="inlineStr">
        <is>
          <t>STARTKAPITAAL</t>
        </is>
      </c>
    </row>
    <row r="5">
      <c r="A5" s="5" t="inlineStr">
        <is>
          <t>Startkapitaal (EUR)</t>
        </is>
      </c>
      <c r="B5" s="6" t="n"/>
      <c r="C5" s="7" t="inlineStr">
        <is>
          <t>Beginbedrag op de rekening</t>
        </is>
      </c>
    </row>
    <row r="6"/>
    <row r="7">
      <c r="A7" s="3" t="inlineStr">
        <is>
          <t>BATTERIJSYSTEMEN (ESS)</t>
        </is>
      </c>
    </row>
    <row r="8">
      <c r="A8" s="5" t="inlineStr">
        <is>
          <t>Verkoopprijs per systeem (EUR)</t>
        </is>
      </c>
      <c r="B8" s="6" t="n"/>
      <c r="C8" s="7" t="inlineStr">
        <is>
          <t>Gemiddelde verkoopprijs</t>
        </is>
      </c>
    </row>
    <row r="9">
      <c r="A9" s="5" t="inlineStr">
        <is>
          <t>Inkoopprijs per systeem (EUR)</t>
        </is>
      </c>
      <c r="B9" s="6" t="n"/>
      <c r="C9" s="7" t="inlineStr">
        <is>
          <t>Inkoopkosten per eenheid</t>
        </is>
      </c>
    </row>
    <row r="10"/>
    <row r="11">
      <c r="A11" s="3" t="inlineStr">
        <is>
          <t>AC LAADPALEN</t>
        </is>
      </c>
    </row>
    <row r="12">
      <c r="A12" s="5" t="inlineStr">
        <is>
          <t>Verkoopprijs per AC lader (EUR)</t>
        </is>
      </c>
      <c r="B12" s="6" t="n"/>
      <c r="C12" s="7" t="inlineStr">
        <is>
          <t>Gemiddelde verkoopprijs</t>
        </is>
      </c>
    </row>
    <row r="13">
      <c r="A13" s="5" t="inlineStr">
        <is>
          <t>Inkoopprijs per AC lader (EUR)</t>
        </is>
      </c>
      <c r="B13" s="6" t="n"/>
      <c r="C13" s="7" t="inlineStr">
        <is>
          <t>Inkoopkosten per eenheid</t>
        </is>
      </c>
    </row>
    <row r="14"/>
    <row r="15">
      <c r="A15" s="3" t="inlineStr">
        <is>
          <t>DC SNELLADERS</t>
        </is>
      </c>
    </row>
    <row r="16">
      <c r="A16" s="5" t="inlineStr">
        <is>
          <t>Verkoopprijs per DC snellader (EUR)</t>
        </is>
      </c>
      <c r="B16" s="6" t="n"/>
      <c r="C16" s="7" t="inlineStr">
        <is>
          <t>Gemiddelde verkoopprijs</t>
        </is>
      </c>
    </row>
    <row r="17">
      <c r="A17" s="5" t="inlineStr">
        <is>
          <t>Inkoopprijs per DC snellader (EUR)</t>
        </is>
      </c>
      <c r="B17" s="6" t="n"/>
      <c r="C17" s="7" t="inlineStr">
        <is>
          <t>Inkoopkosten per eenheid</t>
        </is>
      </c>
    </row>
    <row r="18"/>
    <row r="19">
      <c r="A19" s="3" t="inlineStr">
        <is>
          <t>LAADOPBRENGST</t>
        </is>
      </c>
    </row>
    <row r="20">
      <c r="A20" s="5" t="inlineStr">
        <is>
          <t>Marge per kWh (EUR)</t>
        </is>
      </c>
      <c r="B20" s="8" t="n"/>
      <c r="C20" s="7" t="inlineStr">
        <is>
          <t>Verkoopprijs minus inkoopprijs per kWh</t>
        </is>
      </c>
    </row>
    <row r="21">
      <c r="A21" s="5" t="inlineStr">
        <is>
          <t>Gem. kWh per laadpaal per maand</t>
        </is>
      </c>
      <c r="B21" s="6" t="n"/>
      <c r="C21" s="7" t="inlineStr">
        <is>
          <t>Gemiddeld verbruik per laadpunt</t>
        </is>
      </c>
    </row>
    <row r="22"/>
    <row r="23">
      <c r="A23" s="3" t="inlineStr">
        <is>
          <t>SUPPORT EN ONDERHOUD</t>
        </is>
      </c>
    </row>
    <row r="24">
      <c r="A24" s="5" t="inlineStr">
        <is>
          <t>Support fee per klant per maand (EUR)</t>
        </is>
      </c>
      <c r="B24" s="6" t="n"/>
      <c r="C24" s="7" t="inlineStr">
        <is>
          <t>Terugkerende maandelijkse fee</t>
        </is>
      </c>
    </row>
    <row r="25"/>
    <row r="26">
      <c r="A26" s="3" t="inlineStr">
        <is>
          <t>KICKBACK ZONNEPANELEN</t>
        </is>
      </c>
    </row>
    <row r="27">
      <c r="A27" s="5" t="inlineStr">
        <is>
          <t>Commissiepercentage (%)</t>
        </is>
      </c>
      <c r="B27" s="9" t="n"/>
      <c r="C27" s="7" t="inlineStr">
        <is>
          <t>Percentage van installatiewaarde</t>
        </is>
      </c>
    </row>
    <row r="28">
      <c r="A28" s="5" t="inlineStr">
        <is>
          <t>Gem. installatiewaarde (EUR)</t>
        </is>
      </c>
      <c r="B28" s="6" t="n"/>
      <c r="C28" s="7" t="inlineStr">
        <is>
          <t>Gemiddelde zonne-installatie</t>
        </is>
      </c>
    </row>
    <row r="29"/>
    <row r="30">
      <c r="A30" s="3" t="inlineStr">
        <is>
          <t>EXTRA GARANTIE</t>
        </is>
      </c>
    </row>
    <row r="31">
      <c r="A31" s="5" t="inlineStr">
        <is>
          <t>Garantieprijs per systeem (EUR)</t>
        </is>
      </c>
      <c r="B31" s="6" t="n"/>
      <c r="C31" s="7" t="inlineStr">
        <is>
          <t>Prijs extended warranty</t>
        </is>
      </c>
    </row>
    <row r="32">
      <c r="A32" s="5" t="inlineStr">
        <is>
          <t>Take-rate garantie (%)</t>
        </is>
      </c>
      <c r="B32" s="9" t="n"/>
      <c r="C32" s="7" t="inlineStr">
        <is>
          <t>Percentage klanten dat garantie neemt</t>
        </is>
      </c>
    </row>
    <row r="33"/>
    <row r="34">
      <c r="A34" s="3" t="inlineStr">
        <is>
          <t>OVERIGE KOSTEN (startbedrag per maand)</t>
        </is>
      </c>
    </row>
    <row r="35">
      <c r="A35" s="5" t="inlineStr">
        <is>
          <t>Personeel (EUR/maand, jaar 1)</t>
        </is>
      </c>
      <c r="B35" s="6" t="n"/>
      <c r="C35" s="7" t="inlineStr">
        <is>
          <t>Vul per maand aan in Budget-sheet</t>
        </is>
      </c>
    </row>
    <row r="36">
      <c r="A36" s="5" t="inlineStr">
        <is>
          <t>Marketing en sales (EUR/maand, jaar 1)</t>
        </is>
      </c>
      <c r="B36" s="6" t="n"/>
      <c r="C36" s="7" t="inlineStr">
        <is>
          <t>Vul per maand aan in Budget-sheet</t>
        </is>
      </c>
    </row>
    <row r="37">
      <c r="A37" s="5" t="inlineStr">
        <is>
          <t>Kantoor en operations (EUR/maand)</t>
        </is>
      </c>
      <c r="B37" s="6" t="n"/>
      <c r="C37" s="7" t="inlineStr">
        <is>
          <t>Vul per maand aan in Budget-sheet</t>
        </is>
      </c>
    </row>
    <row r="38">
      <c r="A38" s="5" t="inlineStr">
        <is>
          <t>Software, tools en IT (EUR/maand)</t>
        </is>
      </c>
      <c r="B38" s="6" t="n"/>
      <c r="C38" s="7" t="inlineStr">
        <is>
          <t>Vul per maand aan in Budget-sheet</t>
        </is>
      </c>
    </row>
    <row r="39">
      <c r="A39" s="5" t="inlineStr">
        <is>
          <t>Verzekeringen (EUR/maand)</t>
        </is>
      </c>
      <c r="B39" s="6" t="n"/>
      <c r="C39" s="7" t="inlineStr">
        <is>
          <t>Vul per maand aan in Budget-sheet</t>
        </is>
      </c>
    </row>
    <row r="40"/>
    <row r="41">
      <c r="A41" s="3" t="inlineStr">
        <is>
          <t>PERCENTAGES</t>
        </is>
      </c>
    </row>
    <row r="42">
      <c r="A42" s="5" t="inlineStr">
        <is>
          <t>Onderdelen (% van hardware-omzet)</t>
        </is>
      </c>
      <c r="B42" s="9" t="n">
        <v>0.03</v>
      </c>
      <c r="C42" s="7" t="inlineStr">
        <is>
          <t>Reserve voor vervangende onderdelen</t>
        </is>
      </c>
    </row>
    <row r="43">
      <c r="A43" s="5" t="inlineStr">
        <is>
          <t>Installatie (% van hardware-omzet)</t>
        </is>
      </c>
      <c r="B43" s="9" t="n">
        <v>0.12</v>
      </c>
      <c r="C43" s="7" t="inlineStr">
        <is>
          <t>Installatie- en logistieke kosten</t>
        </is>
      </c>
    </row>
    <row r="44">
      <c r="A44" s="5" t="inlineStr">
        <is>
          <t>Onvoorzien (% van totale kosten)</t>
        </is>
      </c>
      <c r="B44" s="9" t="n">
        <v>0.05</v>
      </c>
      <c r="C44" s="7" t="inlineStr">
        <is>
          <t>Buffer voor onverwachte uitgaven</t>
        </is>
      </c>
    </row>
    <row r="45">
      <c r="A45" s="5" t="inlineStr">
        <is>
          <t>BTW tarief</t>
        </is>
      </c>
      <c r="B45" s="9" t="n">
        <v>0.21</v>
      </c>
      <c r="C45" s="7" t="inlineStr">
        <is>
          <t>Nederlands BTW-tarief</t>
        </is>
      </c>
    </row>
  </sheetData>
  <mergeCells count="12">
    <mergeCell ref="A41:C41"/>
    <mergeCell ref="A19:C19"/>
    <mergeCell ref="A11:C11"/>
    <mergeCell ref="A1:C1"/>
    <mergeCell ref="A23:C23"/>
    <mergeCell ref="A30:C30"/>
    <mergeCell ref="A7:C7"/>
    <mergeCell ref="A34:C34"/>
    <mergeCell ref="A15:C15"/>
    <mergeCell ref="A4:C4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32" customWidth="1" min="4" max="4"/>
  </cols>
  <sheetData>
    <row r="1">
      <c r="A1" s="1" t="inlineStr">
        <is>
          <t>KOSTENSPECIFICATIE</t>
        </is>
      </c>
    </row>
    <row r="2">
      <c r="A2" s="2" t="inlineStr">
        <is>
          <t>Vul alle kosten in. Budget-sheet rekent hier automatisch op door.</t>
        </is>
      </c>
    </row>
    <row r="3"/>
    <row r="4">
      <c r="A4" s="3" t="inlineStr">
        <is>
          <t>INKOOP HARDWARE (kostprijs per eenheid)</t>
        </is>
      </c>
    </row>
    <row r="5">
      <c r="A5" s="10" t="inlineStr">
        <is>
          <t>Kostenpost</t>
        </is>
      </c>
      <c r="B5" s="10" t="inlineStr">
        <is>
          <t>Type</t>
        </is>
      </c>
      <c r="C5" s="10" t="inlineStr">
        <is>
          <t>Bedrag</t>
        </is>
      </c>
      <c r="D5" s="10" t="inlineStr">
        <is>
          <t>Toelichting</t>
        </is>
      </c>
    </row>
    <row r="6">
      <c r="A6" s="5" t="inlineStr">
        <is>
          <t>Inkoopprijs batterijsysteem</t>
        </is>
      </c>
      <c r="B6" s="7" t="inlineStr">
        <is>
          <t>per stuk</t>
        </is>
      </c>
      <c r="C6" s="6" t="n">
        <v>0</v>
      </c>
      <c r="D6" s="7" t="inlineStr">
        <is>
          <t>Per ESS-systeem</t>
        </is>
      </c>
    </row>
    <row r="7">
      <c r="A7" s="5" t="inlineStr">
        <is>
          <t>Inkoopprijs AC laadpaal</t>
        </is>
      </c>
      <c r="B7" s="7" t="inlineStr">
        <is>
          <t>per stuk</t>
        </is>
      </c>
      <c r="C7" s="6" t="n">
        <v>0</v>
      </c>
      <c r="D7" s="7" t="inlineStr">
        <is>
          <t>Per laadpaal</t>
        </is>
      </c>
    </row>
    <row r="8">
      <c r="A8" s="5" t="inlineStr">
        <is>
          <t>Inkoopprijs DC snellader</t>
        </is>
      </c>
      <c r="B8" s="7" t="inlineStr">
        <is>
          <t>per stuk</t>
        </is>
      </c>
      <c r="C8" s="6" t="n">
        <v>0</v>
      </c>
      <c r="D8" s="7" t="inlineStr">
        <is>
          <t>Per snellader</t>
        </is>
      </c>
    </row>
    <row r="9">
      <c r="C9" t="n">
        <v>0</v>
      </c>
    </row>
    <row r="10">
      <c r="A10" s="3" t="inlineStr">
        <is>
          <t>INSTALLATIE EN LOGISTIEK</t>
        </is>
      </c>
    </row>
    <row r="11">
      <c r="A11" s="10" t="inlineStr">
        <is>
          <t>Kostenpost</t>
        </is>
      </c>
      <c r="B11" s="10" t="inlineStr">
        <is>
          <t>Type</t>
        </is>
      </c>
      <c r="C11" s="10" t="inlineStr">
        <is>
          <t>Bedrag</t>
        </is>
      </c>
      <c r="D11" s="10" t="inlineStr">
        <is>
          <t>Toelichting</t>
        </is>
      </c>
    </row>
    <row r="12">
      <c r="A12" s="5" t="inlineStr">
        <is>
          <t>Installatie batterijsysteem</t>
        </is>
      </c>
      <c r="B12" s="7" t="inlineStr">
        <is>
          <t>per stuk</t>
        </is>
      </c>
      <c r="C12" s="6" t="n">
        <v>0</v>
      </c>
      <c r="D12" s="7" t="inlineStr">
        <is>
          <t>Per systeem</t>
        </is>
      </c>
    </row>
    <row r="13">
      <c r="A13" s="5" t="inlineStr">
        <is>
          <t>Installatie AC lader</t>
        </is>
      </c>
      <c r="B13" s="7" t="inlineStr">
        <is>
          <t>per stuk</t>
        </is>
      </c>
      <c r="C13" s="6" t="n">
        <v>0</v>
      </c>
      <c r="D13" s="7" t="inlineStr">
        <is>
          <t>Per laadpaal</t>
        </is>
      </c>
    </row>
    <row r="14">
      <c r="A14" s="5" t="inlineStr">
        <is>
          <t>Installatie DC snellader</t>
        </is>
      </c>
      <c r="B14" s="7" t="inlineStr">
        <is>
          <t>per stuk</t>
        </is>
      </c>
      <c r="C14" s="6" t="n">
        <v>0</v>
      </c>
      <c r="D14" s="7" t="inlineStr">
        <is>
          <t>Per snellader</t>
        </is>
      </c>
    </row>
    <row r="15">
      <c r="A15" s="5" t="inlineStr">
        <is>
          <t>Transport en logistiek per maand</t>
        </is>
      </c>
      <c r="B15" s="7" t="inlineStr">
        <is>
          <t>maandelijks</t>
        </is>
      </c>
      <c r="C15" s="6" t="n">
        <v>0</v>
      </c>
      <c r="D15" s="7" t="inlineStr">
        <is>
          <t>Vaste transportkosten</t>
        </is>
      </c>
    </row>
    <row r="16">
      <c r="C16" t="n">
        <v>0</v>
      </c>
    </row>
    <row r="17">
      <c r="A17" s="3" t="inlineStr">
        <is>
          <t>PERSONEEL</t>
        </is>
      </c>
    </row>
    <row r="18">
      <c r="A18" s="10" t="inlineStr">
        <is>
          <t>Kostenpost</t>
        </is>
      </c>
      <c r="B18" s="10" t="inlineStr">
        <is>
          <t>Type</t>
        </is>
      </c>
      <c r="C18" s="10" t="inlineStr">
        <is>
          <t>Bedrag</t>
        </is>
      </c>
      <c r="D18" s="10" t="inlineStr">
        <is>
          <t>Toelichting</t>
        </is>
      </c>
    </row>
    <row r="19">
      <c r="A19" s="5" t="inlineStr">
        <is>
          <t>Salarissen jaar 1 (EUR/maand)</t>
        </is>
      </c>
      <c r="B19" s="7" t="inlineStr">
        <is>
          <t>maandelijks</t>
        </is>
      </c>
      <c r="C19" s="6" t="n">
        <v>0</v>
      </c>
      <c r="D19" s="7" t="inlineStr">
        <is>
          <t>Bruto salarissen alle FTE</t>
        </is>
      </c>
    </row>
    <row r="20">
      <c r="A20" s="5" t="inlineStr">
        <is>
          <t>Salarissen jaar 2 (EUR/maand)</t>
        </is>
      </c>
      <c r="B20" s="7" t="inlineStr">
        <is>
          <t>maandelijks</t>
        </is>
      </c>
      <c r="C20" s="6" t="n">
        <v>0</v>
      </c>
      <c r="D20" s="7" t="inlineStr">
        <is>
          <t>Opgeschaald in jaar 2</t>
        </is>
      </c>
    </row>
    <row r="21">
      <c r="A21" s="5" t="inlineStr">
        <is>
          <t>Salarissen jaar 3 (EUR/maand)</t>
        </is>
      </c>
      <c r="B21" s="7" t="inlineStr">
        <is>
          <t>maandelijks</t>
        </is>
      </c>
      <c r="C21" s="6" t="n">
        <v>0</v>
      </c>
      <c r="D21" s="7" t="inlineStr">
        <is>
          <t>Opgeschaald in jaar 3</t>
        </is>
      </c>
    </row>
    <row r="22">
      <c r="A22" s="5" t="inlineStr">
        <is>
          <t>Werkgeverslasten (%)</t>
        </is>
      </c>
      <c r="B22" s="7" t="inlineStr">
        <is>
          <t>pct_sal</t>
        </is>
      </c>
      <c r="C22" s="9" t="n">
        <v>0.3</v>
      </c>
      <c r="D22" s="7" t="inlineStr">
        <is>
          <t>Percentage bovenop salaris</t>
        </is>
      </c>
    </row>
    <row r="23">
      <c r="A23" s="5" t="inlineStr">
        <is>
          <t>Freelancers en extern</t>
        </is>
      </c>
      <c r="B23" s="7" t="inlineStr">
        <is>
          <t>maandelijks</t>
        </is>
      </c>
      <c r="C23" s="6" t="n">
        <v>0</v>
      </c>
      <c r="D23" s="7" t="inlineStr">
        <is>
          <t>Indien van toepassing</t>
        </is>
      </c>
    </row>
    <row r="24">
      <c r="C24" t="n">
        <v>0</v>
      </c>
    </row>
    <row r="25">
      <c r="A25" s="3" t="inlineStr">
        <is>
          <t>MARKETING EN SALES</t>
        </is>
      </c>
    </row>
    <row r="26">
      <c r="A26" s="10" t="inlineStr">
        <is>
          <t>Kostenpost</t>
        </is>
      </c>
      <c r="B26" s="10" t="inlineStr">
        <is>
          <t>Type</t>
        </is>
      </c>
      <c r="C26" s="10" t="inlineStr">
        <is>
          <t>Bedrag</t>
        </is>
      </c>
      <c r="D26" s="10" t="inlineStr">
        <is>
          <t>Toelichting</t>
        </is>
      </c>
    </row>
    <row r="27">
      <c r="A27" s="5" t="inlineStr">
        <is>
          <t>Online marketing</t>
        </is>
      </c>
      <c r="B27" s="7" t="inlineStr">
        <is>
          <t>maandelijks</t>
        </is>
      </c>
      <c r="C27" s="6" t="n">
        <v>0</v>
      </c>
      <c r="D27" s="7" t="inlineStr">
        <is>
          <t>Google Ads, LinkedIn, etc.</t>
        </is>
      </c>
    </row>
    <row r="28">
      <c r="A28" s="5" t="inlineStr">
        <is>
          <t>Content en social media</t>
        </is>
      </c>
      <c r="B28" s="7" t="inlineStr">
        <is>
          <t>maandelijks</t>
        </is>
      </c>
      <c r="C28" s="6" t="n">
        <v>0</v>
      </c>
      <c r="D28" s="7" t="inlineStr">
        <is>
          <t>Content creatie</t>
        </is>
      </c>
    </row>
    <row r="29">
      <c r="A29" s="5" t="inlineStr">
        <is>
          <t>Beurzen en events</t>
        </is>
      </c>
      <c r="B29" s="7" t="inlineStr">
        <is>
          <t>maandelijks</t>
        </is>
      </c>
      <c r="C29" s="6" t="n">
        <v>0</v>
      </c>
      <c r="D29" s="7" t="inlineStr">
        <is>
          <t>Vakbeurzen, netwerkevents</t>
        </is>
      </c>
    </row>
    <row r="30">
      <c r="A30" s="5" t="inlineStr">
        <is>
          <t>Sales commissie (% van omzet)</t>
        </is>
      </c>
      <c r="B30" s="7" t="inlineStr">
        <is>
          <t>pct_rev</t>
        </is>
      </c>
      <c r="C30" s="9" t="n">
        <v>0</v>
      </c>
      <c r="D30" s="7" t="inlineStr">
        <is>
          <t>Commissie sales team</t>
        </is>
      </c>
    </row>
    <row r="31">
      <c r="A31" s="5" t="inlineStr">
        <is>
          <t>Drukwerk en promotie</t>
        </is>
      </c>
      <c r="B31" s="7" t="inlineStr">
        <is>
          <t>maandelijks</t>
        </is>
      </c>
      <c r="C31" s="6" t="n">
        <v>0</v>
      </c>
      <c r="D31" s="7" t="inlineStr">
        <is>
          <t>Brochures, relatiegeschenken</t>
        </is>
      </c>
    </row>
    <row r="32">
      <c r="C32" t="n">
        <v>0</v>
      </c>
    </row>
    <row r="33">
      <c r="A33" s="3" t="inlineStr">
        <is>
          <t>KANTOOR EN OPERATIONS</t>
        </is>
      </c>
    </row>
    <row r="34">
      <c r="A34" s="10" t="inlineStr">
        <is>
          <t>Kostenpost</t>
        </is>
      </c>
      <c r="B34" s="10" t="inlineStr">
        <is>
          <t>Type</t>
        </is>
      </c>
      <c r="C34" s="10" t="inlineStr">
        <is>
          <t>Bedrag</t>
        </is>
      </c>
      <c r="D34" s="10" t="inlineStr">
        <is>
          <t>Toelichting</t>
        </is>
      </c>
    </row>
    <row r="35">
      <c r="A35" s="5" t="inlineStr">
        <is>
          <t>Huur kantoorruimte</t>
        </is>
      </c>
      <c r="B35" s="7" t="inlineStr">
        <is>
          <t>maandelijks</t>
        </is>
      </c>
      <c r="C35" s="6" t="n">
        <v>0</v>
      </c>
      <c r="D35" s="7" t="inlineStr">
        <is>
          <t>Inclusief servicekosten</t>
        </is>
      </c>
    </row>
    <row r="36">
      <c r="A36" s="5" t="inlineStr">
        <is>
          <t>Kantoormateriaal</t>
        </is>
      </c>
      <c r="B36" s="7" t="inlineStr">
        <is>
          <t>maandelijks</t>
        </is>
      </c>
      <c r="C36" s="6" t="n">
        <v>0</v>
      </c>
      <c r="D36" s="7" t="inlineStr">
        <is>
          <t>Verbruik, printers</t>
        </is>
      </c>
    </row>
    <row r="37">
      <c r="A37" s="5" t="inlineStr">
        <is>
          <t>Telecom en internet</t>
        </is>
      </c>
      <c r="B37" s="7" t="inlineStr">
        <is>
          <t>maandelijks</t>
        </is>
      </c>
      <c r="C37" s="6" t="n">
        <v>0</v>
      </c>
      <c r="D37" s="7" t="inlineStr">
        <is>
          <t>Telefoon, cloud</t>
        </is>
      </c>
    </row>
    <row r="38">
      <c r="A38" s="5" t="inlineStr">
        <is>
          <t>Reiskosten</t>
        </is>
      </c>
      <c r="B38" s="7" t="inlineStr">
        <is>
          <t>maandelijks</t>
        </is>
      </c>
      <c r="C38" s="6" t="n">
        <v>0</v>
      </c>
      <c r="D38" s="7" t="inlineStr">
        <is>
          <t>Kilometervergoeding, OV</t>
        </is>
      </c>
    </row>
    <row r="39">
      <c r="C39" t="n">
        <v>0</v>
      </c>
    </row>
    <row r="40">
      <c r="A40" s="3" t="inlineStr">
        <is>
          <t>SOFTWARE, TOOLS EN IT</t>
        </is>
      </c>
    </row>
    <row r="41">
      <c r="A41" s="10" t="inlineStr">
        <is>
          <t>Kostenpost</t>
        </is>
      </c>
      <c r="B41" s="10" t="inlineStr">
        <is>
          <t>Type</t>
        </is>
      </c>
      <c r="C41" s="10" t="inlineStr">
        <is>
          <t>Bedrag</t>
        </is>
      </c>
      <c r="D41" s="10" t="inlineStr">
        <is>
          <t>Toelichting</t>
        </is>
      </c>
    </row>
    <row r="42">
      <c r="A42" s="5" t="inlineStr">
        <is>
          <t>CRM-systeem</t>
        </is>
      </c>
      <c r="B42" s="7" t="inlineStr">
        <is>
          <t>maandelijks</t>
        </is>
      </c>
      <c r="C42" s="6" t="n">
        <v>0</v>
      </c>
      <c r="D42" s="7" t="inlineStr">
        <is>
          <t>HubSpot, Salesforce</t>
        </is>
      </c>
    </row>
    <row r="43">
      <c r="A43" s="5" t="inlineStr">
        <is>
          <t>Boekhoudsoftware</t>
        </is>
      </c>
      <c r="B43" s="7" t="inlineStr">
        <is>
          <t>maandelijks</t>
        </is>
      </c>
      <c r="C43" s="6" t="n">
        <v>0</v>
      </c>
      <c r="D43" s="7" t="inlineStr">
        <is>
          <t>Exact, Moneybird</t>
        </is>
      </c>
    </row>
    <row r="44">
      <c r="A44" s="5" t="inlineStr">
        <is>
          <t>IT-infrastructuur</t>
        </is>
      </c>
      <c r="B44" s="7" t="inlineStr">
        <is>
          <t>maandelijks</t>
        </is>
      </c>
      <c r="C44" s="6" t="n">
        <v>0</v>
      </c>
      <c r="D44" s="7" t="inlineStr">
        <is>
          <t>Servers, hosting, domeinen</t>
        </is>
      </c>
    </row>
    <row r="45">
      <c r="A45" s="5" t="inlineStr">
        <is>
          <t>Overige tools</t>
        </is>
      </c>
      <c r="B45" s="7" t="inlineStr">
        <is>
          <t>maandelijks</t>
        </is>
      </c>
      <c r="C45" s="6" t="n">
        <v>0</v>
      </c>
      <c r="D45" s="7" t="inlineStr">
        <is>
          <t>Design, communicatie</t>
        </is>
      </c>
    </row>
    <row r="46">
      <c r="C46" t="n">
        <v>0</v>
      </c>
    </row>
    <row r="47">
      <c r="A47" s="3" t="inlineStr">
        <is>
          <t>VERZEKERINGEN EN JURIDISCH</t>
        </is>
      </c>
    </row>
    <row r="48">
      <c r="A48" s="10" t="inlineStr">
        <is>
          <t>Kostenpost</t>
        </is>
      </c>
      <c r="B48" s="10" t="inlineStr">
        <is>
          <t>Type</t>
        </is>
      </c>
      <c r="C48" s="10" t="inlineStr">
        <is>
          <t>Bedrag</t>
        </is>
      </c>
      <c r="D48" s="10" t="inlineStr">
        <is>
          <t>Toelichting</t>
        </is>
      </c>
    </row>
    <row r="49">
      <c r="A49" s="5" t="inlineStr">
        <is>
          <t>Bedrijfsaansprakelijkheid</t>
        </is>
      </c>
      <c r="B49" s="7" t="inlineStr">
        <is>
          <t>maandelijks</t>
        </is>
      </c>
      <c r="C49" s="6" t="n">
        <v>0</v>
      </c>
      <c r="D49" s="7" t="inlineStr">
        <is>
          <t>AVB-verzekering</t>
        </is>
      </c>
    </row>
    <row r="50">
      <c r="A50" s="5" t="inlineStr">
        <is>
          <t>Beroepsaansprakelijkheid</t>
        </is>
      </c>
      <c r="B50" s="7" t="inlineStr">
        <is>
          <t>maandelijks</t>
        </is>
      </c>
      <c r="C50" s="6" t="n">
        <v>0</v>
      </c>
      <c r="D50" s="7" t="inlineStr">
        <is>
          <t>Beroepsverzekering</t>
        </is>
      </c>
    </row>
    <row r="51">
      <c r="A51" s="5" t="inlineStr">
        <is>
          <t>Productaansprakelijkheid</t>
        </is>
      </c>
      <c r="B51" s="7" t="inlineStr">
        <is>
          <t>maandelijks</t>
        </is>
      </c>
      <c r="C51" s="6" t="n">
        <v>0</v>
      </c>
      <c r="D51" s="7" t="inlineStr">
        <is>
          <t>Hardware aansprakelijkheid</t>
        </is>
      </c>
    </row>
    <row r="52">
      <c r="A52" s="5" t="inlineStr">
        <is>
          <t>Juridisch advies</t>
        </is>
      </c>
      <c r="B52" s="7" t="inlineStr">
        <is>
          <t>maandelijks</t>
        </is>
      </c>
      <c r="C52" s="6" t="n">
        <v>0</v>
      </c>
      <c r="D52" s="7" t="inlineStr">
        <is>
          <t>Contracten, compliance</t>
        </is>
      </c>
    </row>
    <row r="53">
      <c r="C53" t="n">
        <v>0</v>
      </c>
    </row>
    <row r="54">
      <c r="A54" s="3" t="inlineStr">
        <is>
          <t>ONDERHOUD EN GARANTIE</t>
        </is>
      </c>
    </row>
    <row r="55">
      <c r="A55" s="10" t="inlineStr">
        <is>
          <t>Kostenpost</t>
        </is>
      </c>
      <c r="B55" s="10" t="inlineStr">
        <is>
          <t>Type</t>
        </is>
      </c>
      <c r="C55" s="10" t="inlineStr">
        <is>
          <t>Bedrag</t>
        </is>
      </c>
      <c r="D55" s="10" t="inlineStr">
        <is>
          <t>Toelichting</t>
        </is>
      </c>
    </row>
    <row r="56">
      <c r="A56" s="5" t="inlineStr">
        <is>
          <t>Technisch onderhoud</t>
        </is>
      </c>
      <c r="B56" s="7" t="inlineStr">
        <is>
          <t>maandelijks</t>
        </is>
      </c>
      <c r="C56" s="6" t="n">
        <v>0</v>
      </c>
      <c r="D56" s="7" t="inlineStr">
        <is>
          <t>Preventief en correctief</t>
        </is>
      </c>
    </row>
    <row r="57">
      <c r="A57" s="5" t="inlineStr">
        <is>
          <t>Garantiereserve (% hardware-omzet)</t>
        </is>
      </c>
      <c r="B57" s="7" t="inlineStr">
        <is>
          <t>pct_rev</t>
        </is>
      </c>
      <c r="C57" s="9" t="n">
        <v>0.02</v>
      </c>
      <c r="D57" s="7" t="inlineStr">
        <is>
          <t>Reserve garantieclaims</t>
        </is>
      </c>
    </row>
    <row r="58">
      <c r="A58" s="5" t="inlineStr">
        <is>
          <t>Vervangende onderdelen (% hardware-omzet)</t>
        </is>
      </c>
      <c r="B58" s="7" t="inlineStr">
        <is>
          <t>pct_rev</t>
        </is>
      </c>
      <c r="C58" s="9" t="n">
        <v>0.03</v>
      </c>
      <c r="D58" s="7" t="inlineStr">
        <is>
          <t>Voorraad onderdelen</t>
        </is>
      </c>
    </row>
    <row r="59">
      <c r="C59" t="n">
        <v>0</v>
      </c>
    </row>
    <row r="60">
      <c r="A60" s="3" t="inlineStr">
        <is>
          <t>OVERIGE KOSTEN</t>
        </is>
      </c>
    </row>
    <row r="61">
      <c r="A61" s="10" t="inlineStr">
        <is>
          <t>Kostenpost</t>
        </is>
      </c>
      <c r="B61" s="10" t="inlineStr">
        <is>
          <t>Type</t>
        </is>
      </c>
      <c r="C61" s="10" t="inlineStr">
        <is>
          <t>Bedrag</t>
        </is>
      </c>
      <c r="D61" s="10" t="inlineStr">
        <is>
          <t>Toelichting</t>
        </is>
      </c>
    </row>
    <row r="62">
      <c r="A62" s="5" t="inlineStr">
        <is>
          <t>Accountant en administratie</t>
        </is>
      </c>
      <c r="B62" s="7" t="inlineStr">
        <is>
          <t>maandelijks</t>
        </is>
      </c>
      <c r="C62" s="6" t="n">
        <v>0</v>
      </c>
      <c r="D62" s="7" t="inlineStr">
        <is>
          <t>Jaarrekening, aangiftes</t>
        </is>
      </c>
    </row>
    <row r="63">
      <c r="A63" s="5" t="inlineStr">
        <is>
          <t>Bankkosten</t>
        </is>
      </c>
      <c r="B63" s="7" t="inlineStr">
        <is>
          <t>maandelijks</t>
        </is>
      </c>
      <c r="C63" s="6" t="n">
        <v>0</v>
      </c>
      <c r="D63" s="7" t="inlineStr">
        <is>
          <t>Transactiekosten</t>
        </is>
      </c>
    </row>
    <row r="64">
      <c r="A64" s="5" t="inlineStr">
        <is>
          <t>Opleiding en training</t>
        </is>
      </c>
      <c r="B64" s="7" t="inlineStr">
        <is>
          <t>maandelijks</t>
        </is>
      </c>
      <c r="C64" s="6" t="n">
        <v>0</v>
      </c>
      <c r="D64" s="7" t="inlineStr">
        <is>
          <t>Cursussen, certificering</t>
        </is>
      </c>
    </row>
    <row r="65">
      <c r="A65" s="5" t="inlineStr">
        <is>
          <t>Onvoorzien (% totale kosten)</t>
        </is>
      </c>
      <c r="B65" s="7" t="inlineStr">
        <is>
          <t>pct_cost</t>
        </is>
      </c>
      <c r="C65" s="9" t="n">
        <v>0.05</v>
      </c>
      <c r="D65" s="7" t="inlineStr">
        <is>
          <t>Buffer onverwachte uitgaven</t>
        </is>
      </c>
    </row>
  </sheetData>
  <mergeCells count="11">
    <mergeCell ref="A1:D1"/>
    <mergeCell ref="A40:D40"/>
    <mergeCell ref="A17:D17"/>
    <mergeCell ref="A4:D4"/>
    <mergeCell ref="A54:D54"/>
    <mergeCell ref="A25:D25"/>
    <mergeCell ref="A2:D2"/>
    <mergeCell ref="A33:D33"/>
    <mergeCell ref="A10:D10"/>
    <mergeCell ref="A60:D60"/>
    <mergeCell ref="A47:D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VERKOOPPROGNOSE 2026-2029</t>
        </is>
      </c>
    </row>
    <row r="2">
      <c r="A2" s="2" t="inlineStr">
        <is>
          <t>Vul aantallen per maand in (gele cellen). Prijzen komen uit Aannames.</t>
        </is>
      </c>
    </row>
    <row r="3"/>
    <row r="4">
      <c r="A4" s="3" t="inlineStr">
        <is>
          <t>1. BATTERIJSYSTEMEN (ESS)</t>
        </is>
      </c>
    </row>
    <row r="5">
      <c r="A5" s="10" t="inlineStr">
        <is>
          <t>#</t>
        </is>
      </c>
      <c r="B5" s="10" t="inlineStr">
        <is>
          <t>Maand</t>
        </is>
      </c>
      <c r="C5" s="10" t="inlineStr">
        <is>
          <t>Aantal</t>
        </is>
      </c>
      <c r="D5" s="10" t="inlineStr">
        <is>
          <t>Prijs per stuk</t>
        </is>
      </c>
      <c r="E5" s="10" t="inlineStr">
        <is>
          <t>Totaal</t>
        </is>
      </c>
    </row>
    <row r="6">
      <c r="A6" s="5" t="n">
        <v>1</v>
      </c>
      <c r="B6" s="5" t="inlineStr">
        <is>
          <t>Aug '26</t>
        </is>
      </c>
      <c r="C6" s="11" t="n"/>
      <c r="D6" s="12">
        <f>Aannames!B8</f>
        <v/>
      </c>
      <c r="E6" s="12">
        <f>IF(C6="","",C6*D6)</f>
        <v/>
      </c>
    </row>
    <row r="7">
      <c r="A7" s="5" t="n">
        <v>2</v>
      </c>
      <c r="B7" s="5" t="inlineStr">
        <is>
          <t>Sep '26</t>
        </is>
      </c>
      <c r="C7" s="11" t="n"/>
      <c r="D7" s="12">
        <f>Aannames!B8</f>
        <v/>
      </c>
      <c r="E7" s="12">
        <f>IF(C7="","",C7*D7)</f>
        <v/>
      </c>
    </row>
    <row r="8">
      <c r="A8" s="5" t="n">
        <v>3</v>
      </c>
      <c r="B8" s="5" t="inlineStr">
        <is>
          <t>Okt '26</t>
        </is>
      </c>
      <c r="C8" s="11" t="n"/>
      <c r="D8" s="12">
        <f>Aannames!B8</f>
        <v/>
      </c>
      <c r="E8" s="12">
        <f>IF(C8="","",C8*D8)</f>
        <v/>
      </c>
    </row>
    <row r="9">
      <c r="A9" s="5" t="n">
        <v>4</v>
      </c>
      <c r="B9" s="5" t="inlineStr">
        <is>
          <t>Nov '26</t>
        </is>
      </c>
      <c r="C9" s="11" t="n"/>
      <c r="D9" s="12">
        <f>Aannames!B8</f>
        <v/>
      </c>
      <c r="E9" s="12">
        <f>IF(C9="","",C9*D9)</f>
        <v/>
      </c>
    </row>
    <row r="10">
      <c r="A10" s="5" t="n">
        <v>5</v>
      </c>
      <c r="B10" s="5" t="inlineStr">
        <is>
          <t>Dec '26</t>
        </is>
      </c>
      <c r="C10" s="11" t="n"/>
      <c r="D10" s="12">
        <f>Aannames!B8</f>
        <v/>
      </c>
      <c r="E10" s="12">
        <f>IF(C10="","",C10*D10)</f>
        <v/>
      </c>
    </row>
    <row r="11">
      <c r="A11" s="5" t="n">
        <v>6</v>
      </c>
      <c r="B11" s="5" t="inlineStr">
        <is>
          <t>Jan '27</t>
        </is>
      </c>
      <c r="C11" s="11" t="n"/>
      <c r="D11" s="12">
        <f>Aannames!B8</f>
        <v/>
      </c>
      <c r="E11" s="12">
        <f>IF(C11="","",C11*D11)</f>
        <v/>
      </c>
    </row>
    <row r="12">
      <c r="A12" s="5" t="n">
        <v>7</v>
      </c>
      <c r="B12" s="5" t="inlineStr">
        <is>
          <t>Feb '27</t>
        </is>
      </c>
      <c r="C12" s="11" t="n"/>
      <c r="D12" s="12">
        <f>Aannames!B8</f>
        <v/>
      </c>
      <c r="E12" s="12">
        <f>IF(C12="","",C12*D12)</f>
        <v/>
      </c>
    </row>
    <row r="13">
      <c r="A13" s="5" t="n">
        <v>8</v>
      </c>
      <c r="B13" s="5" t="inlineStr">
        <is>
          <t>Mrt '27</t>
        </is>
      </c>
      <c r="C13" s="11" t="n"/>
      <c r="D13" s="12">
        <f>Aannames!B8</f>
        <v/>
      </c>
      <c r="E13" s="12">
        <f>IF(C13="","",C13*D13)</f>
        <v/>
      </c>
    </row>
    <row r="14">
      <c r="A14" s="5" t="n">
        <v>9</v>
      </c>
      <c r="B14" s="5" t="inlineStr">
        <is>
          <t>Apr '27</t>
        </is>
      </c>
      <c r="C14" s="11" t="n"/>
      <c r="D14" s="12">
        <f>Aannames!B8</f>
        <v/>
      </c>
      <c r="E14" s="12">
        <f>IF(C14="","",C14*D14)</f>
        <v/>
      </c>
    </row>
    <row r="15">
      <c r="A15" s="5" t="n">
        <v>10</v>
      </c>
      <c r="B15" s="5" t="inlineStr">
        <is>
          <t>Mei '27</t>
        </is>
      </c>
      <c r="C15" s="11" t="n"/>
      <c r="D15" s="12">
        <f>Aannames!B8</f>
        <v/>
      </c>
      <c r="E15" s="12">
        <f>IF(C15="","",C15*D15)</f>
        <v/>
      </c>
    </row>
    <row r="16">
      <c r="A16" s="5" t="n">
        <v>11</v>
      </c>
      <c r="B16" s="5" t="inlineStr">
        <is>
          <t>Jun '27</t>
        </is>
      </c>
      <c r="C16" s="11" t="n"/>
      <c r="D16" s="12">
        <f>Aannames!B8</f>
        <v/>
      </c>
      <c r="E16" s="12">
        <f>IF(C16="","",C16*D16)</f>
        <v/>
      </c>
    </row>
    <row r="17">
      <c r="A17" s="5" t="n">
        <v>12</v>
      </c>
      <c r="B17" s="5" t="inlineStr">
        <is>
          <t>Jul '27</t>
        </is>
      </c>
      <c r="C17" s="11" t="n"/>
      <c r="D17" s="12">
        <f>Aannames!B8</f>
        <v/>
      </c>
      <c r="E17" s="12">
        <f>IF(C17="","",C17*D17)</f>
        <v/>
      </c>
    </row>
    <row r="18">
      <c r="A18" s="5" t="n">
        <v>13</v>
      </c>
      <c r="B18" s="5" t="inlineStr">
        <is>
          <t>Aug '27</t>
        </is>
      </c>
      <c r="C18" s="11" t="n"/>
      <c r="D18" s="12">
        <f>Aannames!B8</f>
        <v/>
      </c>
      <c r="E18" s="12">
        <f>IF(C18="","",C18*D18)</f>
        <v/>
      </c>
    </row>
    <row r="19">
      <c r="A19" s="5" t="n">
        <v>14</v>
      </c>
      <c r="B19" s="5" t="inlineStr">
        <is>
          <t>Sep '27</t>
        </is>
      </c>
      <c r="C19" s="11" t="n"/>
      <c r="D19" s="12">
        <f>Aannames!B8</f>
        <v/>
      </c>
      <c r="E19" s="12">
        <f>IF(C19="","",C19*D19)</f>
        <v/>
      </c>
    </row>
    <row r="20">
      <c r="A20" s="5" t="n">
        <v>15</v>
      </c>
      <c r="B20" s="5" t="inlineStr">
        <is>
          <t>Okt '27</t>
        </is>
      </c>
      <c r="C20" s="11" t="n"/>
      <c r="D20" s="12">
        <f>Aannames!B8</f>
        <v/>
      </c>
      <c r="E20" s="12">
        <f>IF(C20="","",C20*D20)</f>
        <v/>
      </c>
    </row>
    <row r="21">
      <c r="A21" s="5" t="n">
        <v>16</v>
      </c>
      <c r="B21" s="5" t="inlineStr">
        <is>
          <t>Nov '27</t>
        </is>
      </c>
      <c r="C21" s="11" t="n"/>
      <c r="D21" s="12">
        <f>Aannames!B8</f>
        <v/>
      </c>
      <c r="E21" s="12">
        <f>IF(C21="","",C21*D21)</f>
        <v/>
      </c>
    </row>
    <row r="22">
      <c r="A22" s="5" t="n">
        <v>17</v>
      </c>
      <c r="B22" s="5" t="inlineStr">
        <is>
          <t>Dec '27</t>
        </is>
      </c>
      <c r="C22" s="11" t="n"/>
      <c r="D22" s="12">
        <f>Aannames!B8</f>
        <v/>
      </c>
      <c r="E22" s="12">
        <f>IF(C22="","",C22*D22)</f>
        <v/>
      </c>
    </row>
    <row r="23">
      <c r="A23" s="5" t="n">
        <v>18</v>
      </c>
      <c r="B23" s="5" t="inlineStr">
        <is>
          <t>Jan '28</t>
        </is>
      </c>
      <c r="C23" s="11" t="n"/>
      <c r="D23" s="12">
        <f>Aannames!B8</f>
        <v/>
      </c>
      <c r="E23" s="12">
        <f>IF(C23="","",C23*D23)</f>
        <v/>
      </c>
    </row>
    <row r="24">
      <c r="A24" s="5" t="n">
        <v>19</v>
      </c>
      <c r="B24" s="5" t="inlineStr">
        <is>
          <t>Feb '28</t>
        </is>
      </c>
      <c r="C24" s="11" t="n"/>
      <c r="D24" s="12">
        <f>Aannames!B8</f>
        <v/>
      </c>
      <c r="E24" s="12">
        <f>IF(C24="","",C24*D24)</f>
        <v/>
      </c>
    </row>
    <row r="25">
      <c r="A25" s="5" t="n">
        <v>20</v>
      </c>
      <c r="B25" s="5" t="inlineStr">
        <is>
          <t>Mrt '28</t>
        </is>
      </c>
      <c r="C25" s="11" t="n"/>
      <c r="D25" s="12">
        <f>Aannames!B8</f>
        <v/>
      </c>
      <c r="E25" s="12">
        <f>IF(C25="","",C25*D25)</f>
        <v/>
      </c>
    </row>
    <row r="26">
      <c r="A26" s="5" t="n">
        <v>21</v>
      </c>
      <c r="B26" s="5" t="inlineStr">
        <is>
          <t>Apr '28</t>
        </is>
      </c>
      <c r="C26" s="11" t="n"/>
      <c r="D26" s="12">
        <f>Aannames!B8</f>
        <v/>
      </c>
      <c r="E26" s="12">
        <f>IF(C26="","",C26*D26)</f>
        <v/>
      </c>
    </row>
    <row r="27">
      <c r="A27" s="5" t="n">
        <v>22</v>
      </c>
      <c r="B27" s="5" t="inlineStr">
        <is>
          <t>Mei '28</t>
        </is>
      </c>
      <c r="C27" s="11" t="n"/>
      <c r="D27" s="12">
        <f>Aannames!B8</f>
        <v/>
      </c>
      <c r="E27" s="12">
        <f>IF(C27="","",C27*D27)</f>
        <v/>
      </c>
    </row>
    <row r="28">
      <c r="A28" s="5" t="n">
        <v>23</v>
      </c>
      <c r="B28" s="5" t="inlineStr">
        <is>
          <t>Jun '28</t>
        </is>
      </c>
      <c r="C28" s="11" t="n"/>
      <c r="D28" s="12">
        <f>Aannames!B8</f>
        <v/>
      </c>
      <c r="E28" s="12">
        <f>IF(C28="","",C28*D28)</f>
        <v/>
      </c>
    </row>
    <row r="29">
      <c r="A29" s="5" t="n">
        <v>24</v>
      </c>
      <c r="B29" s="5" t="inlineStr">
        <is>
          <t>Jul '28</t>
        </is>
      </c>
      <c r="C29" s="11" t="n"/>
      <c r="D29" s="12">
        <f>Aannames!B8</f>
        <v/>
      </c>
      <c r="E29" s="12">
        <f>IF(C29="","",C29*D29)</f>
        <v/>
      </c>
    </row>
    <row r="30">
      <c r="A30" s="5" t="n">
        <v>25</v>
      </c>
      <c r="B30" s="5" t="inlineStr">
        <is>
          <t>Aug '28</t>
        </is>
      </c>
      <c r="C30" s="11" t="n"/>
      <c r="D30" s="12">
        <f>Aannames!B8</f>
        <v/>
      </c>
      <c r="E30" s="12">
        <f>IF(C30="","",C30*D30)</f>
        <v/>
      </c>
    </row>
    <row r="31">
      <c r="A31" s="5" t="n">
        <v>26</v>
      </c>
      <c r="B31" s="5" t="inlineStr">
        <is>
          <t>Sep '28</t>
        </is>
      </c>
      <c r="C31" s="11" t="n"/>
      <c r="D31" s="12">
        <f>Aannames!B8</f>
        <v/>
      </c>
      <c r="E31" s="12">
        <f>IF(C31="","",C31*D31)</f>
        <v/>
      </c>
    </row>
    <row r="32">
      <c r="A32" s="5" t="n">
        <v>27</v>
      </c>
      <c r="B32" s="5" t="inlineStr">
        <is>
          <t>Okt '28</t>
        </is>
      </c>
      <c r="C32" s="11" t="n"/>
      <c r="D32" s="12">
        <f>Aannames!B8</f>
        <v/>
      </c>
      <c r="E32" s="12">
        <f>IF(C32="","",C32*D32)</f>
        <v/>
      </c>
    </row>
    <row r="33">
      <c r="A33" s="5" t="n">
        <v>28</v>
      </c>
      <c r="B33" s="5" t="inlineStr">
        <is>
          <t>Nov '28</t>
        </is>
      </c>
      <c r="C33" s="11" t="n"/>
      <c r="D33" s="12">
        <f>Aannames!B8</f>
        <v/>
      </c>
      <c r="E33" s="12">
        <f>IF(C33="","",C33*D33)</f>
        <v/>
      </c>
    </row>
    <row r="34">
      <c r="A34" s="5" t="n">
        <v>29</v>
      </c>
      <c r="B34" s="5" t="inlineStr">
        <is>
          <t>Dec '28</t>
        </is>
      </c>
      <c r="C34" s="11" t="n"/>
      <c r="D34" s="12">
        <f>Aannames!B8</f>
        <v/>
      </c>
      <c r="E34" s="12">
        <f>IF(C34="","",C34*D34)</f>
        <v/>
      </c>
    </row>
    <row r="35">
      <c r="A35" s="5" t="n">
        <v>30</v>
      </c>
      <c r="B35" s="5" t="inlineStr">
        <is>
          <t>Jan '29</t>
        </is>
      </c>
      <c r="C35" s="11" t="n"/>
      <c r="D35" s="12">
        <f>Aannames!B8</f>
        <v/>
      </c>
      <c r="E35" s="12">
        <f>IF(C35="","",C35*D35)</f>
        <v/>
      </c>
    </row>
    <row r="36">
      <c r="A36" s="5" t="n">
        <v>31</v>
      </c>
      <c r="B36" s="5" t="inlineStr">
        <is>
          <t>Feb '29</t>
        </is>
      </c>
      <c r="C36" s="11" t="n"/>
      <c r="D36" s="12">
        <f>Aannames!B8</f>
        <v/>
      </c>
      <c r="E36" s="12">
        <f>IF(C36="","",C36*D36)</f>
        <v/>
      </c>
    </row>
    <row r="37">
      <c r="A37" s="5" t="n">
        <v>32</v>
      </c>
      <c r="B37" s="5" t="inlineStr">
        <is>
          <t>Mrt '29</t>
        </is>
      </c>
      <c r="C37" s="11" t="n"/>
      <c r="D37" s="12">
        <f>Aannames!B8</f>
        <v/>
      </c>
      <c r="E37" s="12">
        <f>IF(C37="","",C37*D37)</f>
        <v/>
      </c>
    </row>
    <row r="38">
      <c r="A38" s="5" t="n">
        <v>33</v>
      </c>
      <c r="B38" s="5" t="inlineStr">
        <is>
          <t>Apr '29</t>
        </is>
      </c>
      <c r="C38" s="11" t="n"/>
      <c r="D38" s="12">
        <f>Aannames!B8</f>
        <v/>
      </c>
      <c r="E38" s="12">
        <f>IF(C38="","",C38*D38)</f>
        <v/>
      </c>
    </row>
    <row r="39">
      <c r="A39" s="5" t="n">
        <v>34</v>
      </c>
      <c r="B39" s="5" t="inlineStr">
        <is>
          <t>Mei '29</t>
        </is>
      </c>
      <c r="C39" s="11" t="n"/>
      <c r="D39" s="12">
        <f>Aannames!B8</f>
        <v/>
      </c>
      <c r="E39" s="12">
        <f>IF(C39="","",C39*D39)</f>
        <v/>
      </c>
    </row>
    <row r="40">
      <c r="A40" s="5" t="n">
        <v>35</v>
      </c>
      <c r="B40" s="5" t="inlineStr">
        <is>
          <t>Jun '29</t>
        </is>
      </c>
      <c r="C40" s="11" t="n"/>
      <c r="D40" s="12">
        <f>Aannames!B8</f>
        <v/>
      </c>
      <c r="E40" s="12">
        <f>IF(C40="","",C40*D40)</f>
        <v/>
      </c>
    </row>
    <row r="41">
      <c r="A41" s="5" t="n">
        <v>36</v>
      </c>
      <c r="B41" s="5" t="inlineStr">
        <is>
          <t>Jul '29</t>
        </is>
      </c>
      <c r="C41" s="11" t="n"/>
      <c r="D41" s="12">
        <f>Aannames!B8</f>
        <v/>
      </c>
      <c r="E41" s="12">
        <f>IF(C41="","",C41*D41)</f>
        <v/>
      </c>
    </row>
    <row r="42">
      <c r="A42" s="13" t="n"/>
      <c r="B42" s="14" t="inlineStr">
        <is>
          <t>TOTAAL</t>
        </is>
      </c>
      <c r="C42" s="14">
        <f>SUM(C6:C41)</f>
        <v/>
      </c>
      <c r="D42" s="13" t="n"/>
      <c r="E42" s="15">
        <f>SUM(E6:E41)</f>
        <v/>
      </c>
    </row>
    <row r="43"/>
    <row r="44">
      <c r="A44" s="3" t="inlineStr">
        <is>
          <t>2. AC LAADPALEN</t>
        </is>
      </c>
    </row>
    <row r="45">
      <c r="A45" s="10" t="inlineStr">
        <is>
          <t>#</t>
        </is>
      </c>
      <c r="B45" s="10" t="inlineStr">
        <is>
          <t>Maand</t>
        </is>
      </c>
      <c r="C45" s="10" t="inlineStr">
        <is>
          <t>Aantal</t>
        </is>
      </c>
      <c r="D45" s="10" t="inlineStr">
        <is>
          <t>Prijs per stuk</t>
        </is>
      </c>
      <c r="E45" s="10" t="inlineStr">
        <is>
          <t>Totaal</t>
        </is>
      </c>
    </row>
    <row r="46">
      <c r="A46" s="5" t="n">
        <v>1</v>
      </c>
      <c r="B46" s="5" t="inlineStr">
        <is>
          <t>Aug '26</t>
        </is>
      </c>
      <c r="C46" s="11" t="n"/>
      <c r="D46" s="12">
        <f>Aannames!B12</f>
        <v/>
      </c>
      <c r="E46" s="12">
        <f>IF(C46="","",C46*D46)</f>
        <v/>
      </c>
    </row>
    <row r="47">
      <c r="A47" s="5" t="n">
        <v>2</v>
      </c>
      <c r="B47" s="5" t="inlineStr">
        <is>
          <t>Sep '26</t>
        </is>
      </c>
      <c r="C47" s="11" t="n"/>
      <c r="D47" s="12">
        <f>Aannames!B12</f>
        <v/>
      </c>
      <c r="E47" s="12">
        <f>IF(C47="","",C47*D47)</f>
        <v/>
      </c>
    </row>
    <row r="48">
      <c r="A48" s="5" t="n">
        <v>3</v>
      </c>
      <c r="B48" s="5" t="inlineStr">
        <is>
          <t>Okt '26</t>
        </is>
      </c>
      <c r="C48" s="11" t="n"/>
      <c r="D48" s="12">
        <f>Aannames!B12</f>
        <v/>
      </c>
      <c r="E48" s="12">
        <f>IF(C48="","",C48*D48)</f>
        <v/>
      </c>
    </row>
    <row r="49">
      <c r="A49" s="5" t="n">
        <v>4</v>
      </c>
      <c r="B49" s="5" t="inlineStr">
        <is>
          <t>Nov '26</t>
        </is>
      </c>
      <c r="C49" s="11" t="n"/>
      <c r="D49" s="12">
        <f>Aannames!B12</f>
        <v/>
      </c>
      <c r="E49" s="12">
        <f>IF(C49="","",C49*D49)</f>
        <v/>
      </c>
    </row>
    <row r="50">
      <c r="A50" s="5" t="n">
        <v>5</v>
      </c>
      <c r="B50" s="5" t="inlineStr">
        <is>
          <t>Dec '26</t>
        </is>
      </c>
      <c r="C50" s="11" t="n"/>
      <c r="D50" s="12">
        <f>Aannames!B12</f>
        <v/>
      </c>
      <c r="E50" s="12">
        <f>IF(C50="","",C50*D50)</f>
        <v/>
      </c>
    </row>
    <row r="51">
      <c r="A51" s="5" t="n">
        <v>6</v>
      </c>
      <c r="B51" s="5" t="inlineStr">
        <is>
          <t>Jan '27</t>
        </is>
      </c>
      <c r="C51" s="11" t="n"/>
      <c r="D51" s="12">
        <f>Aannames!B12</f>
        <v/>
      </c>
      <c r="E51" s="12">
        <f>IF(C51="","",C51*D51)</f>
        <v/>
      </c>
    </row>
    <row r="52">
      <c r="A52" s="5" t="n">
        <v>7</v>
      </c>
      <c r="B52" s="5" t="inlineStr">
        <is>
          <t>Feb '27</t>
        </is>
      </c>
      <c r="C52" s="11" t="n"/>
      <c r="D52" s="12">
        <f>Aannames!B12</f>
        <v/>
      </c>
      <c r="E52" s="12">
        <f>IF(C52="","",C52*D52)</f>
        <v/>
      </c>
    </row>
    <row r="53">
      <c r="A53" s="5" t="n">
        <v>8</v>
      </c>
      <c r="B53" s="5" t="inlineStr">
        <is>
          <t>Mrt '27</t>
        </is>
      </c>
      <c r="C53" s="11" t="n"/>
      <c r="D53" s="12">
        <f>Aannames!B12</f>
        <v/>
      </c>
      <c r="E53" s="12">
        <f>IF(C53="","",C53*D53)</f>
        <v/>
      </c>
    </row>
    <row r="54">
      <c r="A54" s="5" t="n">
        <v>9</v>
      </c>
      <c r="B54" s="5" t="inlineStr">
        <is>
          <t>Apr '27</t>
        </is>
      </c>
      <c r="C54" s="11" t="n"/>
      <c r="D54" s="12">
        <f>Aannames!B12</f>
        <v/>
      </c>
      <c r="E54" s="12">
        <f>IF(C54="","",C54*D54)</f>
        <v/>
      </c>
    </row>
    <row r="55">
      <c r="A55" s="5" t="n">
        <v>10</v>
      </c>
      <c r="B55" s="5" t="inlineStr">
        <is>
          <t>Mei '27</t>
        </is>
      </c>
      <c r="C55" s="11" t="n"/>
      <c r="D55" s="12">
        <f>Aannames!B12</f>
        <v/>
      </c>
      <c r="E55" s="12">
        <f>IF(C55="","",C55*D55)</f>
        <v/>
      </c>
    </row>
    <row r="56">
      <c r="A56" s="5" t="n">
        <v>11</v>
      </c>
      <c r="B56" s="5" t="inlineStr">
        <is>
          <t>Jun '27</t>
        </is>
      </c>
      <c r="C56" s="11" t="n"/>
      <c r="D56" s="12">
        <f>Aannames!B12</f>
        <v/>
      </c>
      <c r="E56" s="12">
        <f>IF(C56="","",C56*D56)</f>
        <v/>
      </c>
    </row>
    <row r="57">
      <c r="A57" s="5" t="n">
        <v>12</v>
      </c>
      <c r="B57" s="5" t="inlineStr">
        <is>
          <t>Jul '27</t>
        </is>
      </c>
      <c r="C57" s="11" t="n"/>
      <c r="D57" s="12">
        <f>Aannames!B12</f>
        <v/>
      </c>
      <c r="E57" s="12">
        <f>IF(C57="","",C57*D57)</f>
        <v/>
      </c>
    </row>
    <row r="58">
      <c r="A58" s="5" t="n">
        <v>13</v>
      </c>
      <c r="B58" s="5" t="inlineStr">
        <is>
          <t>Aug '27</t>
        </is>
      </c>
      <c r="C58" s="11" t="n"/>
      <c r="D58" s="12">
        <f>Aannames!B12</f>
        <v/>
      </c>
      <c r="E58" s="12">
        <f>IF(C58="","",C58*D58)</f>
        <v/>
      </c>
    </row>
    <row r="59">
      <c r="A59" s="5" t="n">
        <v>14</v>
      </c>
      <c r="B59" s="5" t="inlineStr">
        <is>
          <t>Sep '27</t>
        </is>
      </c>
      <c r="C59" s="11" t="n"/>
      <c r="D59" s="12">
        <f>Aannames!B12</f>
        <v/>
      </c>
      <c r="E59" s="12">
        <f>IF(C59="","",C59*D59)</f>
        <v/>
      </c>
    </row>
    <row r="60">
      <c r="A60" s="5" t="n">
        <v>15</v>
      </c>
      <c r="B60" s="5" t="inlineStr">
        <is>
          <t>Okt '27</t>
        </is>
      </c>
      <c r="C60" s="11" t="n"/>
      <c r="D60" s="12">
        <f>Aannames!B12</f>
        <v/>
      </c>
      <c r="E60" s="12">
        <f>IF(C60="","",C60*D60)</f>
        <v/>
      </c>
    </row>
    <row r="61">
      <c r="A61" s="5" t="n">
        <v>16</v>
      </c>
      <c r="B61" s="5" t="inlineStr">
        <is>
          <t>Nov '27</t>
        </is>
      </c>
      <c r="C61" s="11" t="n"/>
      <c r="D61" s="12">
        <f>Aannames!B12</f>
        <v/>
      </c>
      <c r="E61" s="12">
        <f>IF(C61="","",C61*D61)</f>
        <v/>
      </c>
    </row>
    <row r="62">
      <c r="A62" s="5" t="n">
        <v>17</v>
      </c>
      <c r="B62" s="5" t="inlineStr">
        <is>
          <t>Dec '27</t>
        </is>
      </c>
      <c r="C62" s="11" t="n"/>
      <c r="D62" s="12">
        <f>Aannames!B12</f>
        <v/>
      </c>
      <c r="E62" s="12">
        <f>IF(C62="","",C62*D62)</f>
        <v/>
      </c>
    </row>
    <row r="63">
      <c r="A63" s="5" t="n">
        <v>18</v>
      </c>
      <c r="B63" s="5" t="inlineStr">
        <is>
          <t>Jan '28</t>
        </is>
      </c>
      <c r="C63" s="11" t="n"/>
      <c r="D63" s="12">
        <f>Aannames!B12</f>
        <v/>
      </c>
      <c r="E63" s="12">
        <f>IF(C63="","",C63*D63)</f>
        <v/>
      </c>
    </row>
    <row r="64">
      <c r="A64" s="5" t="n">
        <v>19</v>
      </c>
      <c r="B64" s="5" t="inlineStr">
        <is>
          <t>Feb '28</t>
        </is>
      </c>
      <c r="C64" s="11" t="n"/>
      <c r="D64" s="12">
        <f>Aannames!B12</f>
        <v/>
      </c>
      <c r="E64" s="12">
        <f>IF(C64="","",C64*D64)</f>
        <v/>
      </c>
    </row>
    <row r="65">
      <c r="A65" s="5" t="n">
        <v>20</v>
      </c>
      <c r="B65" s="5" t="inlineStr">
        <is>
          <t>Mrt '28</t>
        </is>
      </c>
      <c r="C65" s="11" t="n"/>
      <c r="D65" s="12">
        <f>Aannames!B12</f>
        <v/>
      </c>
      <c r="E65" s="12">
        <f>IF(C65="","",C65*D65)</f>
        <v/>
      </c>
    </row>
    <row r="66">
      <c r="A66" s="5" t="n">
        <v>21</v>
      </c>
      <c r="B66" s="5" t="inlineStr">
        <is>
          <t>Apr '28</t>
        </is>
      </c>
      <c r="C66" s="11" t="n"/>
      <c r="D66" s="12">
        <f>Aannames!B12</f>
        <v/>
      </c>
      <c r="E66" s="12">
        <f>IF(C66="","",C66*D66)</f>
        <v/>
      </c>
    </row>
    <row r="67">
      <c r="A67" s="5" t="n">
        <v>22</v>
      </c>
      <c r="B67" s="5" t="inlineStr">
        <is>
          <t>Mei '28</t>
        </is>
      </c>
      <c r="C67" s="11" t="n"/>
      <c r="D67" s="12">
        <f>Aannames!B12</f>
        <v/>
      </c>
      <c r="E67" s="12">
        <f>IF(C67="","",C67*D67)</f>
        <v/>
      </c>
    </row>
    <row r="68">
      <c r="A68" s="5" t="n">
        <v>23</v>
      </c>
      <c r="B68" s="5" t="inlineStr">
        <is>
          <t>Jun '28</t>
        </is>
      </c>
      <c r="C68" s="11" t="n"/>
      <c r="D68" s="12">
        <f>Aannames!B12</f>
        <v/>
      </c>
      <c r="E68" s="12">
        <f>IF(C68="","",C68*D68)</f>
        <v/>
      </c>
    </row>
    <row r="69">
      <c r="A69" s="5" t="n">
        <v>24</v>
      </c>
      <c r="B69" s="5" t="inlineStr">
        <is>
          <t>Jul '28</t>
        </is>
      </c>
      <c r="C69" s="11" t="n"/>
      <c r="D69" s="12">
        <f>Aannames!B12</f>
        <v/>
      </c>
      <c r="E69" s="12">
        <f>IF(C69="","",C69*D69)</f>
        <v/>
      </c>
    </row>
    <row r="70">
      <c r="A70" s="5" t="n">
        <v>25</v>
      </c>
      <c r="B70" s="5" t="inlineStr">
        <is>
          <t>Aug '28</t>
        </is>
      </c>
      <c r="C70" s="11" t="n"/>
      <c r="D70" s="12">
        <f>Aannames!B12</f>
        <v/>
      </c>
      <c r="E70" s="12">
        <f>IF(C70="","",C70*D70)</f>
        <v/>
      </c>
    </row>
    <row r="71">
      <c r="A71" s="5" t="n">
        <v>26</v>
      </c>
      <c r="B71" s="5" t="inlineStr">
        <is>
          <t>Sep '28</t>
        </is>
      </c>
      <c r="C71" s="11" t="n"/>
      <c r="D71" s="12">
        <f>Aannames!B12</f>
        <v/>
      </c>
      <c r="E71" s="12">
        <f>IF(C71="","",C71*D71)</f>
        <v/>
      </c>
    </row>
    <row r="72">
      <c r="A72" s="5" t="n">
        <v>27</v>
      </c>
      <c r="B72" s="5" t="inlineStr">
        <is>
          <t>Okt '28</t>
        </is>
      </c>
      <c r="C72" s="11" t="n"/>
      <c r="D72" s="12">
        <f>Aannames!B12</f>
        <v/>
      </c>
      <c r="E72" s="12">
        <f>IF(C72="","",C72*D72)</f>
        <v/>
      </c>
    </row>
    <row r="73">
      <c r="A73" s="5" t="n">
        <v>28</v>
      </c>
      <c r="B73" s="5" t="inlineStr">
        <is>
          <t>Nov '28</t>
        </is>
      </c>
      <c r="C73" s="11" t="n"/>
      <c r="D73" s="12">
        <f>Aannames!B12</f>
        <v/>
      </c>
      <c r="E73" s="12">
        <f>IF(C73="","",C73*D73)</f>
        <v/>
      </c>
    </row>
    <row r="74">
      <c r="A74" s="5" t="n">
        <v>29</v>
      </c>
      <c r="B74" s="5" t="inlineStr">
        <is>
          <t>Dec '28</t>
        </is>
      </c>
      <c r="C74" s="11" t="n"/>
      <c r="D74" s="12">
        <f>Aannames!B12</f>
        <v/>
      </c>
      <c r="E74" s="12">
        <f>IF(C74="","",C74*D74)</f>
        <v/>
      </c>
    </row>
    <row r="75">
      <c r="A75" s="5" t="n">
        <v>30</v>
      </c>
      <c r="B75" s="5" t="inlineStr">
        <is>
          <t>Jan '29</t>
        </is>
      </c>
      <c r="C75" s="11" t="n"/>
      <c r="D75" s="12">
        <f>Aannames!B12</f>
        <v/>
      </c>
      <c r="E75" s="12">
        <f>IF(C75="","",C75*D75)</f>
        <v/>
      </c>
    </row>
    <row r="76">
      <c r="A76" s="5" t="n">
        <v>31</v>
      </c>
      <c r="B76" s="5" t="inlineStr">
        <is>
          <t>Feb '29</t>
        </is>
      </c>
      <c r="C76" s="11" t="n"/>
      <c r="D76" s="12">
        <f>Aannames!B12</f>
        <v/>
      </c>
      <c r="E76" s="12">
        <f>IF(C76="","",C76*D76)</f>
        <v/>
      </c>
    </row>
    <row r="77">
      <c r="A77" s="5" t="n">
        <v>32</v>
      </c>
      <c r="B77" s="5" t="inlineStr">
        <is>
          <t>Mrt '29</t>
        </is>
      </c>
      <c r="C77" s="11" t="n"/>
      <c r="D77" s="12">
        <f>Aannames!B12</f>
        <v/>
      </c>
      <c r="E77" s="12">
        <f>IF(C77="","",C77*D77)</f>
        <v/>
      </c>
    </row>
    <row r="78">
      <c r="A78" s="5" t="n">
        <v>33</v>
      </c>
      <c r="B78" s="5" t="inlineStr">
        <is>
          <t>Apr '29</t>
        </is>
      </c>
      <c r="C78" s="11" t="n"/>
      <c r="D78" s="12">
        <f>Aannames!B12</f>
        <v/>
      </c>
      <c r="E78" s="12">
        <f>IF(C78="","",C78*D78)</f>
        <v/>
      </c>
    </row>
    <row r="79">
      <c r="A79" s="5" t="n">
        <v>34</v>
      </c>
      <c r="B79" s="5" t="inlineStr">
        <is>
          <t>Mei '29</t>
        </is>
      </c>
      <c r="C79" s="11" t="n"/>
      <c r="D79" s="12">
        <f>Aannames!B12</f>
        <v/>
      </c>
      <c r="E79" s="12">
        <f>IF(C79="","",C79*D79)</f>
        <v/>
      </c>
    </row>
    <row r="80">
      <c r="A80" s="5" t="n">
        <v>35</v>
      </c>
      <c r="B80" s="5" t="inlineStr">
        <is>
          <t>Jun '29</t>
        </is>
      </c>
      <c r="C80" s="11" t="n"/>
      <c r="D80" s="12">
        <f>Aannames!B12</f>
        <v/>
      </c>
      <c r="E80" s="12">
        <f>IF(C80="","",C80*D80)</f>
        <v/>
      </c>
    </row>
    <row r="81">
      <c r="A81" s="5" t="n">
        <v>36</v>
      </c>
      <c r="B81" s="5" t="inlineStr">
        <is>
          <t>Jul '29</t>
        </is>
      </c>
      <c r="C81" s="11" t="n"/>
      <c r="D81" s="12">
        <f>Aannames!B12</f>
        <v/>
      </c>
      <c r="E81" s="12">
        <f>IF(C81="","",C81*D81)</f>
        <v/>
      </c>
    </row>
    <row r="82">
      <c r="A82" s="13" t="n"/>
      <c r="B82" s="14" t="inlineStr">
        <is>
          <t>TOTAAL</t>
        </is>
      </c>
      <c r="C82" s="14">
        <f>SUM(C46:C81)</f>
        <v/>
      </c>
      <c r="D82" s="13" t="n"/>
      <c r="E82" s="15">
        <f>SUM(E46:E81)</f>
        <v/>
      </c>
    </row>
    <row r="83"/>
    <row r="84">
      <c r="A84" s="3" t="inlineStr">
        <is>
          <t>3. DC SNELLADERS</t>
        </is>
      </c>
    </row>
    <row r="85">
      <c r="A85" s="10" t="inlineStr">
        <is>
          <t>#</t>
        </is>
      </c>
      <c r="B85" s="10" t="inlineStr">
        <is>
          <t>Maand</t>
        </is>
      </c>
      <c r="C85" s="10" t="inlineStr">
        <is>
          <t>Aantal</t>
        </is>
      </c>
      <c r="D85" s="10" t="inlineStr">
        <is>
          <t>Prijs per stuk</t>
        </is>
      </c>
      <c r="E85" s="10" t="inlineStr">
        <is>
          <t>Totaal</t>
        </is>
      </c>
    </row>
    <row r="86">
      <c r="A86" s="5" t="n">
        <v>1</v>
      </c>
      <c r="B86" s="5" t="inlineStr">
        <is>
          <t>Aug '26</t>
        </is>
      </c>
      <c r="C86" s="11" t="n"/>
      <c r="D86" s="12">
        <f>Aannames!B16</f>
        <v/>
      </c>
      <c r="E86" s="12">
        <f>IF(C86="","",C86*D86)</f>
        <v/>
      </c>
    </row>
    <row r="87">
      <c r="A87" s="5" t="n">
        <v>2</v>
      </c>
      <c r="B87" s="5" t="inlineStr">
        <is>
          <t>Sep '26</t>
        </is>
      </c>
      <c r="C87" s="11" t="n"/>
      <c r="D87" s="12">
        <f>Aannames!B16</f>
        <v/>
      </c>
      <c r="E87" s="12">
        <f>IF(C87="","",C87*D87)</f>
        <v/>
      </c>
    </row>
    <row r="88">
      <c r="A88" s="5" t="n">
        <v>3</v>
      </c>
      <c r="B88" s="5" t="inlineStr">
        <is>
          <t>Okt '26</t>
        </is>
      </c>
      <c r="C88" s="11" t="n"/>
      <c r="D88" s="12">
        <f>Aannames!B16</f>
        <v/>
      </c>
      <c r="E88" s="12">
        <f>IF(C88="","",C88*D88)</f>
        <v/>
      </c>
    </row>
    <row r="89">
      <c r="A89" s="5" t="n">
        <v>4</v>
      </c>
      <c r="B89" s="5" t="inlineStr">
        <is>
          <t>Nov '26</t>
        </is>
      </c>
      <c r="C89" s="11" t="n"/>
      <c r="D89" s="12">
        <f>Aannames!B16</f>
        <v/>
      </c>
      <c r="E89" s="12">
        <f>IF(C89="","",C89*D89)</f>
        <v/>
      </c>
    </row>
    <row r="90">
      <c r="A90" s="5" t="n">
        <v>5</v>
      </c>
      <c r="B90" s="5" t="inlineStr">
        <is>
          <t>Dec '26</t>
        </is>
      </c>
      <c r="C90" s="11" t="n"/>
      <c r="D90" s="12">
        <f>Aannames!B16</f>
        <v/>
      </c>
      <c r="E90" s="12">
        <f>IF(C90="","",C90*D90)</f>
        <v/>
      </c>
    </row>
    <row r="91">
      <c r="A91" s="5" t="n">
        <v>6</v>
      </c>
      <c r="B91" s="5" t="inlineStr">
        <is>
          <t>Jan '27</t>
        </is>
      </c>
      <c r="C91" s="11" t="n"/>
      <c r="D91" s="12">
        <f>Aannames!B16</f>
        <v/>
      </c>
      <c r="E91" s="12">
        <f>IF(C91="","",C91*D91)</f>
        <v/>
      </c>
    </row>
    <row r="92">
      <c r="A92" s="5" t="n">
        <v>7</v>
      </c>
      <c r="B92" s="5" t="inlineStr">
        <is>
          <t>Feb '27</t>
        </is>
      </c>
      <c r="C92" s="11" t="n"/>
      <c r="D92" s="12">
        <f>Aannames!B16</f>
        <v/>
      </c>
      <c r="E92" s="12">
        <f>IF(C92="","",C92*D92)</f>
        <v/>
      </c>
    </row>
    <row r="93">
      <c r="A93" s="5" t="n">
        <v>8</v>
      </c>
      <c r="B93" s="5" t="inlineStr">
        <is>
          <t>Mrt '27</t>
        </is>
      </c>
      <c r="C93" s="11" t="n"/>
      <c r="D93" s="12">
        <f>Aannames!B16</f>
        <v/>
      </c>
      <c r="E93" s="12">
        <f>IF(C93="","",C93*D93)</f>
        <v/>
      </c>
    </row>
    <row r="94">
      <c r="A94" s="5" t="n">
        <v>9</v>
      </c>
      <c r="B94" s="5" t="inlineStr">
        <is>
          <t>Apr '27</t>
        </is>
      </c>
      <c r="C94" s="11" t="n"/>
      <c r="D94" s="12">
        <f>Aannames!B16</f>
        <v/>
      </c>
      <c r="E94" s="12">
        <f>IF(C94="","",C94*D94)</f>
        <v/>
      </c>
    </row>
    <row r="95">
      <c r="A95" s="5" t="n">
        <v>10</v>
      </c>
      <c r="B95" s="5" t="inlineStr">
        <is>
          <t>Mei '27</t>
        </is>
      </c>
      <c r="C95" s="11" t="n"/>
      <c r="D95" s="12">
        <f>Aannames!B16</f>
        <v/>
      </c>
      <c r="E95" s="12">
        <f>IF(C95="","",C95*D95)</f>
        <v/>
      </c>
    </row>
    <row r="96">
      <c r="A96" s="5" t="n">
        <v>11</v>
      </c>
      <c r="B96" s="5" t="inlineStr">
        <is>
          <t>Jun '27</t>
        </is>
      </c>
      <c r="C96" s="11" t="n"/>
      <c r="D96" s="12">
        <f>Aannames!B16</f>
        <v/>
      </c>
      <c r="E96" s="12">
        <f>IF(C96="","",C96*D96)</f>
        <v/>
      </c>
    </row>
    <row r="97">
      <c r="A97" s="5" t="n">
        <v>12</v>
      </c>
      <c r="B97" s="5" t="inlineStr">
        <is>
          <t>Jul '27</t>
        </is>
      </c>
      <c r="C97" s="11" t="n"/>
      <c r="D97" s="12">
        <f>Aannames!B16</f>
        <v/>
      </c>
      <c r="E97" s="12">
        <f>IF(C97="","",C97*D97)</f>
        <v/>
      </c>
    </row>
    <row r="98">
      <c r="A98" s="5" t="n">
        <v>13</v>
      </c>
      <c r="B98" s="5" t="inlineStr">
        <is>
          <t>Aug '27</t>
        </is>
      </c>
      <c r="C98" s="11" t="n"/>
      <c r="D98" s="12">
        <f>Aannames!B16</f>
        <v/>
      </c>
      <c r="E98" s="12">
        <f>IF(C98="","",C98*D98)</f>
        <v/>
      </c>
    </row>
    <row r="99">
      <c r="A99" s="5" t="n">
        <v>14</v>
      </c>
      <c r="B99" s="5" t="inlineStr">
        <is>
          <t>Sep '27</t>
        </is>
      </c>
      <c r="C99" s="11" t="n"/>
      <c r="D99" s="12">
        <f>Aannames!B16</f>
        <v/>
      </c>
      <c r="E99" s="12">
        <f>IF(C99="","",C99*D99)</f>
        <v/>
      </c>
    </row>
    <row r="100">
      <c r="A100" s="5" t="n">
        <v>15</v>
      </c>
      <c r="B100" s="5" t="inlineStr">
        <is>
          <t>Okt '27</t>
        </is>
      </c>
      <c r="C100" s="11" t="n"/>
      <c r="D100" s="12">
        <f>Aannames!B16</f>
        <v/>
      </c>
      <c r="E100" s="12">
        <f>IF(C100="","",C100*D100)</f>
        <v/>
      </c>
    </row>
    <row r="101">
      <c r="A101" s="5" t="n">
        <v>16</v>
      </c>
      <c r="B101" s="5" t="inlineStr">
        <is>
          <t>Nov '27</t>
        </is>
      </c>
      <c r="C101" s="11" t="n"/>
      <c r="D101" s="12">
        <f>Aannames!B16</f>
        <v/>
      </c>
      <c r="E101" s="12">
        <f>IF(C101="","",C101*D101)</f>
        <v/>
      </c>
    </row>
    <row r="102">
      <c r="A102" s="5" t="n">
        <v>17</v>
      </c>
      <c r="B102" s="5" t="inlineStr">
        <is>
          <t>Dec '27</t>
        </is>
      </c>
      <c r="C102" s="11" t="n"/>
      <c r="D102" s="12">
        <f>Aannames!B16</f>
        <v/>
      </c>
      <c r="E102" s="12">
        <f>IF(C102="","",C102*D102)</f>
        <v/>
      </c>
    </row>
    <row r="103">
      <c r="A103" s="5" t="n">
        <v>18</v>
      </c>
      <c r="B103" s="5" t="inlineStr">
        <is>
          <t>Jan '28</t>
        </is>
      </c>
      <c r="C103" s="11" t="n"/>
      <c r="D103" s="12">
        <f>Aannames!B16</f>
        <v/>
      </c>
      <c r="E103" s="12">
        <f>IF(C103="","",C103*D103)</f>
        <v/>
      </c>
    </row>
    <row r="104">
      <c r="A104" s="5" t="n">
        <v>19</v>
      </c>
      <c r="B104" s="5" t="inlineStr">
        <is>
          <t>Feb '28</t>
        </is>
      </c>
      <c r="C104" s="11" t="n"/>
      <c r="D104" s="12">
        <f>Aannames!B16</f>
        <v/>
      </c>
      <c r="E104" s="12">
        <f>IF(C104="","",C104*D104)</f>
        <v/>
      </c>
    </row>
    <row r="105">
      <c r="A105" s="5" t="n">
        <v>20</v>
      </c>
      <c r="B105" s="5" t="inlineStr">
        <is>
          <t>Mrt '28</t>
        </is>
      </c>
      <c r="C105" s="11" t="n"/>
      <c r="D105" s="12">
        <f>Aannames!B16</f>
        <v/>
      </c>
      <c r="E105" s="12">
        <f>IF(C105="","",C105*D105)</f>
        <v/>
      </c>
    </row>
    <row r="106">
      <c r="A106" s="5" t="n">
        <v>21</v>
      </c>
      <c r="B106" s="5" t="inlineStr">
        <is>
          <t>Apr '28</t>
        </is>
      </c>
      <c r="C106" s="11" t="n"/>
      <c r="D106" s="12">
        <f>Aannames!B16</f>
        <v/>
      </c>
      <c r="E106" s="12">
        <f>IF(C106="","",C106*D106)</f>
        <v/>
      </c>
    </row>
    <row r="107">
      <c r="A107" s="5" t="n">
        <v>22</v>
      </c>
      <c r="B107" s="5" t="inlineStr">
        <is>
          <t>Mei '28</t>
        </is>
      </c>
      <c r="C107" s="11" t="n"/>
      <c r="D107" s="12">
        <f>Aannames!B16</f>
        <v/>
      </c>
      <c r="E107" s="12">
        <f>IF(C107="","",C107*D107)</f>
        <v/>
      </c>
    </row>
    <row r="108">
      <c r="A108" s="5" t="n">
        <v>23</v>
      </c>
      <c r="B108" s="5" t="inlineStr">
        <is>
          <t>Jun '28</t>
        </is>
      </c>
      <c r="C108" s="11" t="n"/>
      <c r="D108" s="12">
        <f>Aannames!B16</f>
        <v/>
      </c>
      <c r="E108" s="12">
        <f>IF(C108="","",C108*D108)</f>
        <v/>
      </c>
    </row>
    <row r="109">
      <c r="A109" s="5" t="n">
        <v>24</v>
      </c>
      <c r="B109" s="5" t="inlineStr">
        <is>
          <t>Jul '28</t>
        </is>
      </c>
      <c r="C109" s="11" t="n"/>
      <c r="D109" s="12">
        <f>Aannames!B16</f>
        <v/>
      </c>
      <c r="E109" s="12">
        <f>IF(C109="","",C109*D109)</f>
        <v/>
      </c>
    </row>
    <row r="110">
      <c r="A110" s="5" t="n">
        <v>25</v>
      </c>
      <c r="B110" s="5" t="inlineStr">
        <is>
          <t>Aug '28</t>
        </is>
      </c>
      <c r="C110" s="11" t="n"/>
      <c r="D110" s="12">
        <f>Aannames!B16</f>
        <v/>
      </c>
      <c r="E110" s="12">
        <f>IF(C110="","",C110*D110)</f>
        <v/>
      </c>
    </row>
    <row r="111">
      <c r="A111" s="5" t="n">
        <v>26</v>
      </c>
      <c r="B111" s="5" t="inlineStr">
        <is>
          <t>Sep '28</t>
        </is>
      </c>
      <c r="C111" s="11" t="n"/>
      <c r="D111" s="12">
        <f>Aannames!B16</f>
        <v/>
      </c>
      <c r="E111" s="12">
        <f>IF(C111="","",C111*D111)</f>
        <v/>
      </c>
    </row>
    <row r="112">
      <c r="A112" s="5" t="n">
        <v>27</v>
      </c>
      <c r="B112" s="5" t="inlineStr">
        <is>
          <t>Okt '28</t>
        </is>
      </c>
      <c r="C112" s="11" t="n"/>
      <c r="D112" s="12">
        <f>Aannames!B16</f>
        <v/>
      </c>
      <c r="E112" s="12">
        <f>IF(C112="","",C112*D112)</f>
        <v/>
      </c>
    </row>
    <row r="113">
      <c r="A113" s="5" t="n">
        <v>28</v>
      </c>
      <c r="B113" s="5" t="inlineStr">
        <is>
          <t>Nov '28</t>
        </is>
      </c>
      <c r="C113" s="11" t="n"/>
      <c r="D113" s="12">
        <f>Aannames!B16</f>
        <v/>
      </c>
      <c r="E113" s="12">
        <f>IF(C113="","",C113*D113)</f>
        <v/>
      </c>
    </row>
    <row r="114">
      <c r="A114" s="5" t="n">
        <v>29</v>
      </c>
      <c r="B114" s="5" t="inlineStr">
        <is>
          <t>Dec '28</t>
        </is>
      </c>
      <c r="C114" s="11" t="n"/>
      <c r="D114" s="12">
        <f>Aannames!B16</f>
        <v/>
      </c>
      <c r="E114" s="12">
        <f>IF(C114="","",C114*D114)</f>
        <v/>
      </c>
    </row>
    <row r="115">
      <c r="A115" s="5" t="n">
        <v>30</v>
      </c>
      <c r="B115" s="5" t="inlineStr">
        <is>
          <t>Jan '29</t>
        </is>
      </c>
      <c r="C115" s="11" t="n"/>
      <c r="D115" s="12">
        <f>Aannames!B16</f>
        <v/>
      </c>
      <c r="E115" s="12">
        <f>IF(C115="","",C115*D115)</f>
        <v/>
      </c>
    </row>
    <row r="116">
      <c r="A116" s="5" t="n">
        <v>31</v>
      </c>
      <c r="B116" s="5" t="inlineStr">
        <is>
          <t>Feb '29</t>
        </is>
      </c>
      <c r="C116" s="11" t="n"/>
      <c r="D116" s="12">
        <f>Aannames!B16</f>
        <v/>
      </c>
      <c r="E116" s="12">
        <f>IF(C116="","",C116*D116)</f>
        <v/>
      </c>
    </row>
    <row r="117">
      <c r="A117" s="5" t="n">
        <v>32</v>
      </c>
      <c r="B117" s="5" t="inlineStr">
        <is>
          <t>Mrt '29</t>
        </is>
      </c>
      <c r="C117" s="11" t="n"/>
      <c r="D117" s="12">
        <f>Aannames!B16</f>
        <v/>
      </c>
      <c r="E117" s="12">
        <f>IF(C117="","",C117*D117)</f>
        <v/>
      </c>
    </row>
    <row r="118">
      <c r="A118" s="5" t="n">
        <v>33</v>
      </c>
      <c r="B118" s="5" t="inlineStr">
        <is>
          <t>Apr '29</t>
        </is>
      </c>
      <c r="C118" s="11" t="n"/>
      <c r="D118" s="12">
        <f>Aannames!B16</f>
        <v/>
      </c>
      <c r="E118" s="12">
        <f>IF(C118="","",C118*D118)</f>
        <v/>
      </c>
    </row>
    <row r="119">
      <c r="A119" s="5" t="n">
        <v>34</v>
      </c>
      <c r="B119" s="5" t="inlineStr">
        <is>
          <t>Mei '29</t>
        </is>
      </c>
      <c r="C119" s="11" t="n"/>
      <c r="D119" s="12">
        <f>Aannames!B16</f>
        <v/>
      </c>
      <c r="E119" s="12">
        <f>IF(C119="","",C119*D119)</f>
        <v/>
      </c>
    </row>
    <row r="120">
      <c r="A120" s="5" t="n">
        <v>35</v>
      </c>
      <c r="B120" s="5" t="inlineStr">
        <is>
          <t>Jun '29</t>
        </is>
      </c>
      <c r="C120" s="11" t="n"/>
      <c r="D120" s="12">
        <f>Aannames!B16</f>
        <v/>
      </c>
      <c r="E120" s="12">
        <f>IF(C120="","",C120*D120)</f>
        <v/>
      </c>
    </row>
    <row r="121">
      <c r="A121" s="5" t="n">
        <v>36</v>
      </c>
      <c r="B121" s="5" t="inlineStr">
        <is>
          <t>Jul '29</t>
        </is>
      </c>
      <c r="C121" s="11" t="n"/>
      <c r="D121" s="12">
        <f>Aannames!B16</f>
        <v/>
      </c>
      <c r="E121" s="12">
        <f>IF(C121="","",C121*D121)</f>
        <v/>
      </c>
    </row>
    <row r="122">
      <c r="A122" s="13" t="n"/>
      <c r="B122" s="14" t="inlineStr">
        <is>
          <t>TOTAAL</t>
        </is>
      </c>
      <c r="C122" s="14">
        <f>SUM(C86:C121)</f>
        <v/>
      </c>
      <c r="D122" s="13" t="n"/>
      <c r="E122" s="15">
        <f>SUM(E86:E121)</f>
        <v/>
      </c>
    </row>
    <row r="123"/>
    <row r="124">
      <c r="A124" s="3" t="inlineStr">
        <is>
          <t>4. SUPPORT — actieve klanten</t>
        </is>
      </c>
    </row>
    <row r="125">
      <c r="A125" s="10" t="inlineStr">
        <is>
          <t>#</t>
        </is>
      </c>
      <c r="B125" s="10" t="inlineStr">
        <is>
          <t>Maand</t>
        </is>
      </c>
      <c r="C125" s="10" t="inlineStr">
        <is>
          <t>Aantal</t>
        </is>
      </c>
      <c r="D125" s="10" t="inlineStr">
        <is>
          <t>Prijs per stuk</t>
        </is>
      </c>
      <c r="E125" s="10" t="inlineStr">
        <is>
          <t>Totaal</t>
        </is>
      </c>
    </row>
    <row r="126">
      <c r="A126" s="5" t="n">
        <v>1</v>
      </c>
      <c r="B126" s="5" t="inlineStr">
        <is>
          <t>Aug '26</t>
        </is>
      </c>
      <c r="C126" s="11" t="n"/>
      <c r="D126" s="12">
        <f>Aannames!B24</f>
        <v/>
      </c>
      <c r="E126" s="12">
        <f>IF(C126="","",C126*D126)</f>
        <v/>
      </c>
    </row>
    <row r="127">
      <c r="A127" s="5" t="n">
        <v>2</v>
      </c>
      <c r="B127" s="5" t="inlineStr">
        <is>
          <t>Sep '26</t>
        </is>
      </c>
      <c r="C127" s="11" t="n"/>
      <c r="D127" s="12">
        <f>Aannames!B24</f>
        <v/>
      </c>
      <c r="E127" s="12">
        <f>IF(C127="","",C127*D127)</f>
        <v/>
      </c>
    </row>
    <row r="128">
      <c r="A128" s="5" t="n">
        <v>3</v>
      </c>
      <c r="B128" s="5" t="inlineStr">
        <is>
          <t>Okt '26</t>
        </is>
      </c>
      <c r="C128" s="11" t="n"/>
      <c r="D128" s="12">
        <f>Aannames!B24</f>
        <v/>
      </c>
      <c r="E128" s="12">
        <f>IF(C128="","",C128*D128)</f>
        <v/>
      </c>
    </row>
    <row r="129">
      <c r="A129" s="5" t="n">
        <v>4</v>
      </c>
      <c r="B129" s="5" t="inlineStr">
        <is>
          <t>Nov '26</t>
        </is>
      </c>
      <c r="C129" s="11" t="n"/>
      <c r="D129" s="12">
        <f>Aannames!B24</f>
        <v/>
      </c>
      <c r="E129" s="12">
        <f>IF(C129="","",C129*D129)</f>
        <v/>
      </c>
    </row>
    <row r="130">
      <c r="A130" s="5" t="n">
        <v>5</v>
      </c>
      <c r="B130" s="5" t="inlineStr">
        <is>
          <t>Dec '26</t>
        </is>
      </c>
      <c r="C130" s="11" t="n"/>
      <c r="D130" s="12">
        <f>Aannames!B24</f>
        <v/>
      </c>
      <c r="E130" s="12">
        <f>IF(C130="","",C130*D130)</f>
        <v/>
      </c>
    </row>
    <row r="131">
      <c r="A131" s="5" t="n">
        <v>6</v>
      </c>
      <c r="B131" s="5" t="inlineStr">
        <is>
          <t>Jan '27</t>
        </is>
      </c>
      <c r="C131" s="11" t="n"/>
      <c r="D131" s="12">
        <f>Aannames!B24</f>
        <v/>
      </c>
      <c r="E131" s="12">
        <f>IF(C131="","",C131*D131)</f>
        <v/>
      </c>
    </row>
    <row r="132">
      <c r="A132" s="5" t="n">
        <v>7</v>
      </c>
      <c r="B132" s="5" t="inlineStr">
        <is>
          <t>Feb '27</t>
        </is>
      </c>
      <c r="C132" s="11" t="n"/>
      <c r="D132" s="12">
        <f>Aannames!B24</f>
        <v/>
      </c>
      <c r="E132" s="12">
        <f>IF(C132="","",C132*D132)</f>
        <v/>
      </c>
    </row>
    <row r="133">
      <c r="A133" s="5" t="n">
        <v>8</v>
      </c>
      <c r="B133" s="5" t="inlineStr">
        <is>
          <t>Mrt '27</t>
        </is>
      </c>
      <c r="C133" s="11" t="n"/>
      <c r="D133" s="12">
        <f>Aannames!B24</f>
        <v/>
      </c>
      <c r="E133" s="12">
        <f>IF(C133="","",C133*D133)</f>
        <v/>
      </c>
    </row>
    <row r="134">
      <c r="A134" s="5" t="n">
        <v>9</v>
      </c>
      <c r="B134" s="5" t="inlineStr">
        <is>
          <t>Apr '27</t>
        </is>
      </c>
      <c r="C134" s="11" t="n"/>
      <c r="D134" s="12">
        <f>Aannames!B24</f>
        <v/>
      </c>
      <c r="E134" s="12">
        <f>IF(C134="","",C134*D134)</f>
        <v/>
      </c>
    </row>
    <row r="135">
      <c r="A135" s="5" t="n">
        <v>10</v>
      </c>
      <c r="B135" s="5" t="inlineStr">
        <is>
          <t>Mei '27</t>
        </is>
      </c>
      <c r="C135" s="11" t="n"/>
      <c r="D135" s="12">
        <f>Aannames!B24</f>
        <v/>
      </c>
      <c r="E135" s="12">
        <f>IF(C135="","",C135*D135)</f>
        <v/>
      </c>
    </row>
    <row r="136">
      <c r="A136" s="5" t="n">
        <v>11</v>
      </c>
      <c r="B136" s="5" t="inlineStr">
        <is>
          <t>Jun '27</t>
        </is>
      </c>
      <c r="C136" s="11" t="n"/>
      <c r="D136" s="12">
        <f>Aannames!B24</f>
        <v/>
      </c>
      <c r="E136" s="12">
        <f>IF(C136="","",C136*D136)</f>
        <v/>
      </c>
    </row>
    <row r="137">
      <c r="A137" s="5" t="n">
        <v>12</v>
      </c>
      <c r="B137" s="5" t="inlineStr">
        <is>
          <t>Jul '27</t>
        </is>
      </c>
      <c r="C137" s="11" t="n"/>
      <c r="D137" s="12">
        <f>Aannames!B24</f>
        <v/>
      </c>
      <c r="E137" s="12">
        <f>IF(C137="","",C137*D137)</f>
        <v/>
      </c>
    </row>
    <row r="138">
      <c r="A138" s="5" t="n">
        <v>13</v>
      </c>
      <c r="B138" s="5" t="inlineStr">
        <is>
          <t>Aug '27</t>
        </is>
      </c>
      <c r="C138" s="11" t="n"/>
      <c r="D138" s="12">
        <f>Aannames!B24</f>
        <v/>
      </c>
      <c r="E138" s="12">
        <f>IF(C138="","",C138*D138)</f>
        <v/>
      </c>
    </row>
    <row r="139">
      <c r="A139" s="5" t="n">
        <v>14</v>
      </c>
      <c r="B139" s="5" t="inlineStr">
        <is>
          <t>Sep '27</t>
        </is>
      </c>
      <c r="C139" s="11" t="n"/>
      <c r="D139" s="12">
        <f>Aannames!B24</f>
        <v/>
      </c>
      <c r="E139" s="12">
        <f>IF(C139="","",C139*D139)</f>
        <v/>
      </c>
    </row>
    <row r="140">
      <c r="A140" s="5" t="n">
        <v>15</v>
      </c>
      <c r="B140" s="5" t="inlineStr">
        <is>
          <t>Okt '27</t>
        </is>
      </c>
      <c r="C140" s="11" t="n"/>
      <c r="D140" s="12">
        <f>Aannames!B24</f>
        <v/>
      </c>
      <c r="E140" s="12">
        <f>IF(C140="","",C140*D140)</f>
        <v/>
      </c>
    </row>
    <row r="141">
      <c r="A141" s="5" t="n">
        <v>16</v>
      </c>
      <c r="B141" s="5" t="inlineStr">
        <is>
          <t>Nov '27</t>
        </is>
      </c>
      <c r="C141" s="11" t="n"/>
      <c r="D141" s="12">
        <f>Aannames!B24</f>
        <v/>
      </c>
      <c r="E141" s="12">
        <f>IF(C141="","",C141*D141)</f>
        <v/>
      </c>
    </row>
    <row r="142">
      <c r="A142" s="5" t="n">
        <v>17</v>
      </c>
      <c r="B142" s="5" t="inlineStr">
        <is>
          <t>Dec '27</t>
        </is>
      </c>
      <c r="C142" s="11" t="n"/>
      <c r="D142" s="12">
        <f>Aannames!B24</f>
        <v/>
      </c>
      <c r="E142" s="12">
        <f>IF(C142="","",C142*D142)</f>
        <v/>
      </c>
    </row>
    <row r="143">
      <c r="A143" s="5" t="n">
        <v>18</v>
      </c>
      <c r="B143" s="5" t="inlineStr">
        <is>
          <t>Jan '28</t>
        </is>
      </c>
      <c r="C143" s="11" t="n"/>
      <c r="D143" s="12">
        <f>Aannames!B24</f>
        <v/>
      </c>
      <c r="E143" s="12">
        <f>IF(C143="","",C143*D143)</f>
        <v/>
      </c>
    </row>
    <row r="144">
      <c r="A144" s="5" t="n">
        <v>19</v>
      </c>
      <c r="B144" s="5" t="inlineStr">
        <is>
          <t>Feb '28</t>
        </is>
      </c>
      <c r="C144" s="11" t="n"/>
      <c r="D144" s="12">
        <f>Aannames!B24</f>
        <v/>
      </c>
      <c r="E144" s="12">
        <f>IF(C144="","",C144*D144)</f>
        <v/>
      </c>
    </row>
    <row r="145">
      <c r="A145" s="5" t="n">
        <v>20</v>
      </c>
      <c r="B145" s="5" t="inlineStr">
        <is>
          <t>Mrt '28</t>
        </is>
      </c>
      <c r="C145" s="11" t="n"/>
      <c r="D145" s="12">
        <f>Aannames!B24</f>
        <v/>
      </c>
      <c r="E145" s="12">
        <f>IF(C145="","",C145*D145)</f>
        <v/>
      </c>
    </row>
    <row r="146">
      <c r="A146" s="5" t="n">
        <v>21</v>
      </c>
      <c r="B146" s="5" t="inlineStr">
        <is>
          <t>Apr '28</t>
        </is>
      </c>
      <c r="C146" s="11" t="n"/>
      <c r="D146" s="12">
        <f>Aannames!B24</f>
        <v/>
      </c>
      <c r="E146" s="12">
        <f>IF(C146="","",C146*D146)</f>
        <v/>
      </c>
    </row>
    <row r="147">
      <c r="A147" s="5" t="n">
        <v>22</v>
      </c>
      <c r="B147" s="5" t="inlineStr">
        <is>
          <t>Mei '28</t>
        </is>
      </c>
      <c r="C147" s="11" t="n"/>
      <c r="D147" s="12">
        <f>Aannames!B24</f>
        <v/>
      </c>
      <c r="E147" s="12">
        <f>IF(C147="","",C147*D147)</f>
        <v/>
      </c>
    </row>
    <row r="148">
      <c r="A148" s="5" t="n">
        <v>23</v>
      </c>
      <c r="B148" s="5" t="inlineStr">
        <is>
          <t>Jun '28</t>
        </is>
      </c>
      <c r="C148" s="11" t="n"/>
      <c r="D148" s="12">
        <f>Aannames!B24</f>
        <v/>
      </c>
      <c r="E148" s="12">
        <f>IF(C148="","",C148*D148)</f>
        <v/>
      </c>
    </row>
    <row r="149">
      <c r="A149" s="5" t="n">
        <v>24</v>
      </c>
      <c r="B149" s="5" t="inlineStr">
        <is>
          <t>Jul '28</t>
        </is>
      </c>
      <c r="C149" s="11" t="n"/>
      <c r="D149" s="12">
        <f>Aannames!B24</f>
        <v/>
      </c>
      <c r="E149" s="12">
        <f>IF(C149="","",C149*D149)</f>
        <v/>
      </c>
    </row>
    <row r="150">
      <c r="A150" s="5" t="n">
        <v>25</v>
      </c>
      <c r="B150" s="5" t="inlineStr">
        <is>
          <t>Aug '28</t>
        </is>
      </c>
      <c r="C150" s="11" t="n"/>
      <c r="D150" s="12">
        <f>Aannames!B24</f>
        <v/>
      </c>
      <c r="E150" s="12">
        <f>IF(C150="","",C150*D150)</f>
        <v/>
      </c>
    </row>
    <row r="151">
      <c r="A151" s="5" t="n">
        <v>26</v>
      </c>
      <c r="B151" s="5" t="inlineStr">
        <is>
          <t>Sep '28</t>
        </is>
      </c>
      <c r="C151" s="11" t="n"/>
      <c r="D151" s="12">
        <f>Aannames!B24</f>
        <v/>
      </c>
      <c r="E151" s="12">
        <f>IF(C151="","",C151*D151)</f>
        <v/>
      </c>
    </row>
    <row r="152">
      <c r="A152" s="5" t="n">
        <v>27</v>
      </c>
      <c r="B152" s="5" t="inlineStr">
        <is>
          <t>Okt '28</t>
        </is>
      </c>
      <c r="C152" s="11" t="n"/>
      <c r="D152" s="12">
        <f>Aannames!B24</f>
        <v/>
      </c>
      <c r="E152" s="12">
        <f>IF(C152="","",C152*D152)</f>
        <v/>
      </c>
    </row>
    <row r="153">
      <c r="A153" s="5" t="n">
        <v>28</v>
      </c>
      <c r="B153" s="5" t="inlineStr">
        <is>
          <t>Nov '28</t>
        </is>
      </c>
      <c r="C153" s="11" t="n"/>
      <c r="D153" s="12">
        <f>Aannames!B24</f>
        <v/>
      </c>
      <c r="E153" s="12">
        <f>IF(C153="","",C153*D153)</f>
        <v/>
      </c>
    </row>
    <row r="154">
      <c r="A154" s="5" t="n">
        <v>29</v>
      </c>
      <c r="B154" s="5" t="inlineStr">
        <is>
          <t>Dec '28</t>
        </is>
      </c>
      <c r="C154" s="11" t="n"/>
      <c r="D154" s="12">
        <f>Aannames!B24</f>
        <v/>
      </c>
      <c r="E154" s="12">
        <f>IF(C154="","",C154*D154)</f>
        <v/>
      </c>
    </row>
    <row r="155">
      <c r="A155" s="5" t="n">
        <v>30</v>
      </c>
      <c r="B155" s="5" t="inlineStr">
        <is>
          <t>Jan '29</t>
        </is>
      </c>
      <c r="C155" s="11" t="n"/>
      <c r="D155" s="12">
        <f>Aannames!B24</f>
        <v/>
      </c>
      <c r="E155" s="12">
        <f>IF(C155="","",C155*D155)</f>
        <v/>
      </c>
    </row>
    <row r="156">
      <c r="A156" s="5" t="n">
        <v>31</v>
      </c>
      <c r="B156" s="5" t="inlineStr">
        <is>
          <t>Feb '29</t>
        </is>
      </c>
      <c r="C156" s="11" t="n"/>
      <c r="D156" s="12">
        <f>Aannames!B24</f>
        <v/>
      </c>
      <c r="E156" s="12">
        <f>IF(C156="","",C156*D156)</f>
        <v/>
      </c>
    </row>
    <row r="157">
      <c r="A157" s="5" t="n">
        <v>32</v>
      </c>
      <c r="B157" s="5" t="inlineStr">
        <is>
          <t>Mrt '29</t>
        </is>
      </c>
      <c r="C157" s="11" t="n"/>
      <c r="D157" s="12">
        <f>Aannames!B24</f>
        <v/>
      </c>
      <c r="E157" s="12">
        <f>IF(C157="","",C157*D157)</f>
        <v/>
      </c>
    </row>
    <row r="158">
      <c r="A158" s="5" t="n">
        <v>33</v>
      </c>
      <c r="B158" s="5" t="inlineStr">
        <is>
          <t>Apr '29</t>
        </is>
      </c>
      <c r="C158" s="11" t="n"/>
      <c r="D158" s="12">
        <f>Aannames!B24</f>
        <v/>
      </c>
      <c r="E158" s="12">
        <f>IF(C158="","",C158*D158)</f>
        <v/>
      </c>
    </row>
    <row r="159">
      <c r="A159" s="5" t="n">
        <v>34</v>
      </c>
      <c r="B159" s="5" t="inlineStr">
        <is>
          <t>Mei '29</t>
        </is>
      </c>
      <c r="C159" s="11" t="n"/>
      <c r="D159" s="12">
        <f>Aannames!B24</f>
        <v/>
      </c>
      <c r="E159" s="12">
        <f>IF(C159="","",C159*D159)</f>
        <v/>
      </c>
    </row>
    <row r="160">
      <c r="A160" s="5" t="n">
        <v>35</v>
      </c>
      <c r="B160" s="5" t="inlineStr">
        <is>
          <t>Jun '29</t>
        </is>
      </c>
      <c r="C160" s="11" t="n"/>
      <c r="D160" s="12">
        <f>Aannames!B24</f>
        <v/>
      </c>
      <c r="E160" s="12">
        <f>IF(C160="","",C160*D160)</f>
        <v/>
      </c>
    </row>
    <row r="161">
      <c r="A161" s="5" t="n">
        <v>36</v>
      </c>
      <c r="B161" s="5" t="inlineStr">
        <is>
          <t>Jul '29</t>
        </is>
      </c>
      <c r="C161" s="11" t="n"/>
      <c r="D161" s="12">
        <f>Aannames!B24</f>
        <v/>
      </c>
      <c r="E161" s="12">
        <f>IF(C161="","",C161*D161)</f>
        <v/>
      </c>
    </row>
    <row r="162">
      <c r="A162" s="13" t="n"/>
      <c r="B162" s="14" t="inlineStr">
        <is>
          <t>TOTAAL</t>
        </is>
      </c>
      <c r="C162" s="14">
        <f>SUM(C126:C161)</f>
        <v/>
      </c>
      <c r="D162" s="13" t="n"/>
      <c r="E162" s="15">
        <f>SUM(E126:E161)</f>
        <v/>
      </c>
    </row>
    <row r="163"/>
    <row r="164">
      <c r="A164" s="3" t="inlineStr">
        <is>
          <t>5. KICKBACK ZONNEPANELEN</t>
        </is>
      </c>
    </row>
    <row r="165">
      <c r="A165" s="10" t="inlineStr">
        <is>
          <t>#</t>
        </is>
      </c>
      <c r="B165" s="10" t="inlineStr">
        <is>
          <t>Maand</t>
        </is>
      </c>
      <c r="C165" s="10" t="inlineStr">
        <is>
          <t>Aantal</t>
        </is>
      </c>
      <c r="D165" s="10" t="inlineStr">
        <is>
          <t>Prijs per stuk</t>
        </is>
      </c>
      <c r="E165" s="10" t="inlineStr">
        <is>
          <t>Totaal</t>
        </is>
      </c>
    </row>
    <row r="166">
      <c r="A166" s="5" t="n">
        <v>1</v>
      </c>
      <c r="B166" s="5" t="inlineStr">
        <is>
          <t>Aug '26</t>
        </is>
      </c>
      <c r="C166" s="11" t="n"/>
      <c r="D166" s="29">
        <f>Aannames!B28</f>
        <v/>
      </c>
      <c r="E166" s="12">
        <f>IF(C166="","",C166*D166)</f>
        <v/>
      </c>
    </row>
    <row r="167">
      <c r="A167" s="5" t="n">
        <v>2</v>
      </c>
      <c r="B167" s="5" t="inlineStr">
        <is>
          <t>Sep '26</t>
        </is>
      </c>
      <c r="C167" s="11" t="n"/>
      <c r="D167" s="29">
        <f>Aannames!B28</f>
        <v/>
      </c>
      <c r="E167" s="12">
        <f>IF(C167="","",C167*D167)</f>
        <v/>
      </c>
    </row>
    <row r="168">
      <c r="A168" s="5" t="n">
        <v>3</v>
      </c>
      <c r="B168" s="5" t="inlineStr">
        <is>
          <t>Okt '26</t>
        </is>
      </c>
      <c r="C168" s="11" t="n"/>
      <c r="D168" s="29">
        <f>Aannames!B28</f>
        <v/>
      </c>
      <c r="E168" s="12">
        <f>IF(C168="","",C168*D168)</f>
        <v/>
      </c>
    </row>
    <row r="169">
      <c r="A169" s="5" t="n">
        <v>4</v>
      </c>
      <c r="B169" s="5" t="inlineStr">
        <is>
          <t>Nov '26</t>
        </is>
      </c>
      <c r="C169" s="11" t="n"/>
      <c r="D169" s="29">
        <f>Aannames!B28</f>
        <v/>
      </c>
      <c r="E169" s="12">
        <f>IF(C169="","",C169*D169)</f>
        <v/>
      </c>
    </row>
    <row r="170">
      <c r="A170" s="5" t="n">
        <v>5</v>
      </c>
      <c r="B170" s="5" t="inlineStr">
        <is>
          <t>Dec '26</t>
        </is>
      </c>
      <c r="C170" s="11" t="n"/>
      <c r="D170" s="29">
        <f>Aannames!B28</f>
        <v/>
      </c>
      <c r="E170" s="12">
        <f>IF(C170="","",C170*D170)</f>
        <v/>
      </c>
    </row>
    <row r="171">
      <c r="A171" s="5" t="n">
        <v>6</v>
      </c>
      <c r="B171" s="5" t="inlineStr">
        <is>
          <t>Jan '27</t>
        </is>
      </c>
      <c r="C171" s="11" t="n"/>
      <c r="D171" s="29">
        <f>Aannames!B28</f>
        <v/>
      </c>
      <c r="E171" s="12">
        <f>IF(C171="","",C171*D171)</f>
        <v/>
      </c>
    </row>
    <row r="172">
      <c r="A172" s="5" t="n">
        <v>7</v>
      </c>
      <c r="B172" s="5" t="inlineStr">
        <is>
          <t>Feb '27</t>
        </is>
      </c>
      <c r="C172" s="11" t="n"/>
      <c r="D172" s="29">
        <f>Aannames!B28</f>
        <v/>
      </c>
      <c r="E172" s="12">
        <f>IF(C172="","",C172*D172)</f>
        <v/>
      </c>
    </row>
    <row r="173">
      <c r="A173" s="5" t="n">
        <v>8</v>
      </c>
      <c r="B173" s="5" t="inlineStr">
        <is>
          <t>Mrt '27</t>
        </is>
      </c>
      <c r="C173" s="11" t="n"/>
      <c r="D173" s="29">
        <f>Aannames!B28</f>
        <v/>
      </c>
      <c r="E173" s="12">
        <f>IF(C173="","",C173*D173)</f>
        <v/>
      </c>
    </row>
    <row r="174">
      <c r="A174" s="5" t="n">
        <v>9</v>
      </c>
      <c r="B174" s="5" t="inlineStr">
        <is>
          <t>Apr '27</t>
        </is>
      </c>
      <c r="C174" s="11" t="n"/>
      <c r="D174" s="29">
        <f>Aannames!B28</f>
        <v/>
      </c>
      <c r="E174" s="12">
        <f>IF(C174="","",C174*D174)</f>
        <v/>
      </c>
    </row>
    <row r="175">
      <c r="A175" s="5" t="n">
        <v>10</v>
      </c>
      <c r="B175" s="5" t="inlineStr">
        <is>
          <t>Mei '27</t>
        </is>
      </c>
      <c r="C175" s="11" t="n"/>
      <c r="D175" s="29">
        <f>Aannames!B28</f>
        <v/>
      </c>
      <c r="E175" s="12">
        <f>IF(C175="","",C175*D175)</f>
        <v/>
      </c>
    </row>
    <row r="176">
      <c r="A176" s="5" t="n">
        <v>11</v>
      </c>
      <c r="B176" s="5" t="inlineStr">
        <is>
          <t>Jun '27</t>
        </is>
      </c>
      <c r="C176" s="11" t="n"/>
      <c r="D176" s="29">
        <f>Aannames!B28</f>
        <v/>
      </c>
      <c r="E176" s="12">
        <f>IF(C176="","",C176*D176)</f>
        <v/>
      </c>
    </row>
    <row r="177">
      <c r="A177" s="5" t="n">
        <v>12</v>
      </c>
      <c r="B177" s="5" t="inlineStr">
        <is>
          <t>Jul '27</t>
        </is>
      </c>
      <c r="C177" s="11" t="n"/>
      <c r="D177" s="29">
        <f>Aannames!B28</f>
        <v/>
      </c>
      <c r="E177" s="12">
        <f>IF(C177="","",C177*D177)</f>
        <v/>
      </c>
    </row>
    <row r="178">
      <c r="A178" s="5" t="n">
        <v>13</v>
      </c>
      <c r="B178" s="5" t="inlineStr">
        <is>
          <t>Aug '27</t>
        </is>
      </c>
      <c r="C178" s="11" t="n"/>
      <c r="D178" s="29">
        <f>Aannames!B28</f>
        <v/>
      </c>
      <c r="E178" s="12">
        <f>IF(C178="","",C178*D178)</f>
        <v/>
      </c>
    </row>
    <row r="179">
      <c r="A179" s="5" t="n">
        <v>14</v>
      </c>
      <c r="B179" s="5" t="inlineStr">
        <is>
          <t>Sep '27</t>
        </is>
      </c>
      <c r="C179" s="11" t="n"/>
      <c r="D179" s="29">
        <f>Aannames!B28</f>
        <v/>
      </c>
      <c r="E179" s="12">
        <f>IF(C179="","",C179*D179)</f>
        <v/>
      </c>
    </row>
    <row r="180">
      <c r="A180" s="5" t="n">
        <v>15</v>
      </c>
      <c r="B180" s="5" t="inlineStr">
        <is>
          <t>Okt '27</t>
        </is>
      </c>
      <c r="C180" s="11" t="n"/>
      <c r="D180" s="29">
        <f>Aannames!B28</f>
        <v/>
      </c>
      <c r="E180" s="12">
        <f>IF(C180="","",C180*D180)</f>
        <v/>
      </c>
    </row>
    <row r="181">
      <c r="A181" s="5" t="n">
        <v>16</v>
      </c>
      <c r="B181" s="5" t="inlineStr">
        <is>
          <t>Nov '27</t>
        </is>
      </c>
      <c r="C181" s="11" t="n"/>
      <c r="D181" s="29">
        <f>Aannames!B28</f>
        <v/>
      </c>
      <c r="E181" s="12">
        <f>IF(C181="","",C181*D181)</f>
        <v/>
      </c>
    </row>
    <row r="182">
      <c r="A182" s="5" t="n">
        <v>17</v>
      </c>
      <c r="B182" s="5" t="inlineStr">
        <is>
          <t>Dec '27</t>
        </is>
      </c>
      <c r="C182" s="11" t="n"/>
      <c r="D182" s="29">
        <f>Aannames!B28</f>
        <v/>
      </c>
      <c r="E182" s="12">
        <f>IF(C182="","",C182*D182)</f>
        <v/>
      </c>
    </row>
    <row r="183">
      <c r="A183" s="5" t="n">
        <v>18</v>
      </c>
      <c r="B183" s="5" t="inlineStr">
        <is>
          <t>Jan '28</t>
        </is>
      </c>
      <c r="C183" s="11" t="n"/>
      <c r="D183" s="29">
        <f>Aannames!B28</f>
        <v/>
      </c>
      <c r="E183" s="12">
        <f>IF(C183="","",C183*D183)</f>
        <v/>
      </c>
    </row>
    <row r="184">
      <c r="A184" s="5" t="n">
        <v>19</v>
      </c>
      <c r="B184" s="5" t="inlineStr">
        <is>
          <t>Feb '28</t>
        </is>
      </c>
      <c r="C184" s="11" t="n"/>
      <c r="D184" s="29">
        <f>Aannames!B28</f>
        <v/>
      </c>
      <c r="E184" s="12">
        <f>IF(C184="","",C184*D184)</f>
        <v/>
      </c>
    </row>
    <row r="185">
      <c r="A185" s="5" t="n">
        <v>20</v>
      </c>
      <c r="B185" s="5" t="inlineStr">
        <is>
          <t>Mrt '28</t>
        </is>
      </c>
      <c r="C185" s="11" t="n"/>
      <c r="D185" s="29">
        <f>Aannames!B28</f>
        <v/>
      </c>
      <c r="E185" s="12">
        <f>IF(C185="","",C185*D185)</f>
        <v/>
      </c>
    </row>
    <row r="186">
      <c r="A186" s="5" t="n">
        <v>21</v>
      </c>
      <c r="B186" s="5" t="inlineStr">
        <is>
          <t>Apr '28</t>
        </is>
      </c>
      <c r="C186" s="11" t="n"/>
      <c r="D186" s="29">
        <f>Aannames!B28</f>
        <v/>
      </c>
      <c r="E186" s="12">
        <f>IF(C186="","",C186*D186)</f>
        <v/>
      </c>
    </row>
    <row r="187">
      <c r="A187" s="5" t="n">
        <v>22</v>
      </c>
      <c r="B187" s="5" t="inlineStr">
        <is>
          <t>Mei '28</t>
        </is>
      </c>
      <c r="C187" s="11" t="n"/>
      <c r="D187" s="29">
        <f>Aannames!B28</f>
        <v/>
      </c>
      <c r="E187" s="12">
        <f>IF(C187="","",C187*D187)</f>
        <v/>
      </c>
    </row>
    <row r="188">
      <c r="A188" s="5" t="n">
        <v>23</v>
      </c>
      <c r="B188" s="5" t="inlineStr">
        <is>
          <t>Jun '28</t>
        </is>
      </c>
      <c r="C188" s="11" t="n"/>
      <c r="D188" s="29">
        <f>Aannames!B28</f>
        <v/>
      </c>
      <c r="E188" s="12">
        <f>IF(C188="","",C188*D188)</f>
        <v/>
      </c>
    </row>
    <row r="189">
      <c r="A189" s="5" t="n">
        <v>24</v>
      </c>
      <c r="B189" s="5" t="inlineStr">
        <is>
          <t>Jul '28</t>
        </is>
      </c>
      <c r="C189" s="11" t="n"/>
      <c r="D189" s="29">
        <f>Aannames!B28</f>
        <v/>
      </c>
      <c r="E189" s="12">
        <f>IF(C189="","",C189*D189)</f>
        <v/>
      </c>
    </row>
    <row r="190">
      <c r="A190" s="5" t="n">
        <v>25</v>
      </c>
      <c r="B190" s="5" t="inlineStr">
        <is>
          <t>Aug '28</t>
        </is>
      </c>
      <c r="C190" s="11" t="n"/>
      <c r="D190" s="29">
        <f>Aannames!B28</f>
        <v/>
      </c>
      <c r="E190" s="12">
        <f>IF(C190="","",C190*D190)</f>
        <v/>
      </c>
    </row>
    <row r="191">
      <c r="A191" s="5" t="n">
        <v>26</v>
      </c>
      <c r="B191" s="5" t="inlineStr">
        <is>
          <t>Sep '28</t>
        </is>
      </c>
      <c r="C191" s="11" t="n"/>
      <c r="D191" s="29">
        <f>Aannames!B28</f>
        <v/>
      </c>
      <c r="E191" s="12">
        <f>IF(C191="","",C191*D191)</f>
        <v/>
      </c>
    </row>
    <row r="192">
      <c r="A192" s="5" t="n">
        <v>27</v>
      </c>
      <c r="B192" s="5" t="inlineStr">
        <is>
          <t>Okt '28</t>
        </is>
      </c>
      <c r="C192" s="11" t="n"/>
      <c r="D192" s="29">
        <f>Aannames!B28</f>
        <v/>
      </c>
      <c r="E192" s="12">
        <f>IF(C192="","",C192*D192)</f>
        <v/>
      </c>
    </row>
    <row r="193">
      <c r="A193" s="5" t="n">
        <v>28</v>
      </c>
      <c r="B193" s="5" t="inlineStr">
        <is>
          <t>Nov '28</t>
        </is>
      </c>
      <c r="C193" s="11" t="n"/>
      <c r="D193" s="29">
        <f>Aannames!B28</f>
        <v/>
      </c>
      <c r="E193" s="12">
        <f>IF(C193="","",C193*D193)</f>
        <v/>
      </c>
    </row>
    <row r="194">
      <c r="A194" s="5" t="n">
        <v>29</v>
      </c>
      <c r="B194" s="5" t="inlineStr">
        <is>
          <t>Dec '28</t>
        </is>
      </c>
      <c r="C194" s="11" t="n"/>
      <c r="D194" s="29">
        <f>Aannames!B28</f>
        <v/>
      </c>
      <c r="E194" s="12">
        <f>IF(C194="","",C194*D194)</f>
        <v/>
      </c>
    </row>
    <row r="195">
      <c r="A195" s="5" t="n">
        <v>30</v>
      </c>
      <c r="B195" s="5" t="inlineStr">
        <is>
          <t>Jan '29</t>
        </is>
      </c>
      <c r="C195" s="11" t="n"/>
      <c r="D195" s="29">
        <f>Aannames!B28</f>
        <v/>
      </c>
      <c r="E195" s="12">
        <f>IF(C195="","",C195*D195)</f>
        <v/>
      </c>
    </row>
    <row r="196">
      <c r="A196" s="5" t="n">
        <v>31</v>
      </c>
      <c r="B196" s="5" t="inlineStr">
        <is>
          <t>Feb '29</t>
        </is>
      </c>
      <c r="C196" s="11" t="n"/>
      <c r="D196" s="29">
        <f>Aannames!B28</f>
        <v/>
      </c>
      <c r="E196" s="12">
        <f>IF(C196="","",C196*D196)</f>
        <v/>
      </c>
    </row>
    <row r="197">
      <c r="A197" s="5" t="n">
        <v>32</v>
      </c>
      <c r="B197" s="5" t="inlineStr">
        <is>
          <t>Mrt '29</t>
        </is>
      </c>
      <c r="C197" s="11" t="n"/>
      <c r="D197" s="29">
        <f>Aannames!B28</f>
        <v/>
      </c>
      <c r="E197" s="12">
        <f>IF(C197="","",C197*D197)</f>
        <v/>
      </c>
    </row>
    <row r="198">
      <c r="A198" s="5" t="n">
        <v>33</v>
      </c>
      <c r="B198" s="5" t="inlineStr">
        <is>
          <t>Apr '29</t>
        </is>
      </c>
      <c r="C198" s="11" t="n"/>
      <c r="D198" s="29">
        <f>Aannames!B28</f>
        <v/>
      </c>
      <c r="E198" s="12">
        <f>IF(C198="","",C198*D198)</f>
        <v/>
      </c>
    </row>
    <row r="199">
      <c r="A199" s="5" t="n">
        <v>34</v>
      </c>
      <c r="B199" s="5" t="inlineStr">
        <is>
          <t>Mei '29</t>
        </is>
      </c>
      <c r="C199" s="11" t="n"/>
      <c r="D199" s="29">
        <f>Aannames!B28</f>
        <v/>
      </c>
      <c r="E199" s="12">
        <f>IF(C199="","",C199*D199)</f>
        <v/>
      </c>
    </row>
    <row r="200">
      <c r="A200" s="5" t="n">
        <v>35</v>
      </c>
      <c r="B200" s="5" t="inlineStr">
        <is>
          <t>Jun '29</t>
        </is>
      </c>
      <c r="C200" s="11" t="n"/>
      <c r="D200" s="29">
        <f>Aannames!B28</f>
        <v/>
      </c>
      <c r="E200" s="12">
        <f>IF(C200="","",C200*D200)</f>
        <v/>
      </c>
    </row>
    <row r="201">
      <c r="A201" s="5" t="n">
        <v>36</v>
      </c>
      <c r="B201" s="5" t="inlineStr">
        <is>
          <t>Jul '29</t>
        </is>
      </c>
      <c r="C201" s="11" t="n"/>
      <c r="D201" s="29">
        <f>Aannames!B28</f>
        <v/>
      </c>
      <c r="E201" s="12">
        <f>IF(C201="","",C201*D201)</f>
        <v/>
      </c>
    </row>
    <row r="202">
      <c r="A202" s="13" t="n"/>
      <c r="B202" s="14" t="inlineStr">
        <is>
          <t>TOTAAL</t>
        </is>
      </c>
      <c r="C202" s="14">
        <f>SUM(C166:C201)</f>
        <v/>
      </c>
      <c r="D202" s="13" t="n"/>
      <c r="E202" s="15">
        <f>SUM(E166:E201)</f>
        <v/>
      </c>
    </row>
    <row r="203"/>
    <row r="204">
      <c r="A204" s="3" t="inlineStr">
        <is>
          <t>6. EXTRA GARANTIE PAKKETTEN</t>
        </is>
      </c>
    </row>
    <row r="205">
      <c r="A205" s="10" t="inlineStr">
        <is>
          <t>#</t>
        </is>
      </c>
      <c r="B205" s="10" t="inlineStr">
        <is>
          <t>Maand</t>
        </is>
      </c>
      <c r="C205" s="10" t="inlineStr">
        <is>
          <t>Aantal</t>
        </is>
      </c>
      <c r="D205" s="10" t="inlineStr">
        <is>
          <t>Prijs per stuk</t>
        </is>
      </c>
      <c r="E205" s="10" t="inlineStr">
        <is>
          <t>Totaal</t>
        </is>
      </c>
    </row>
    <row r="206">
      <c r="A206" s="5" t="n">
        <v>1</v>
      </c>
      <c r="B206" s="5" t="inlineStr">
        <is>
          <t>Aug '26</t>
        </is>
      </c>
      <c r="C206" s="11" t="n"/>
      <c r="D206" s="12">
        <f>Aannames!B31</f>
        <v/>
      </c>
      <c r="E206" s="12">
        <f>IF(C206="","",C206*D206)</f>
        <v/>
      </c>
    </row>
    <row r="207">
      <c r="A207" s="5" t="n">
        <v>2</v>
      </c>
      <c r="B207" s="5" t="inlineStr">
        <is>
          <t>Sep '26</t>
        </is>
      </c>
      <c r="C207" s="11" t="n"/>
      <c r="D207" s="12">
        <f>Aannames!B31</f>
        <v/>
      </c>
      <c r="E207" s="12">
        <f>IF(C207="","",C207*D207)</f>
        <v/>
      </c>
    </row>
    <row r="208">
      <c r="A208" s="5" t="n">
        <v>3</v>
      </c>
      <c r="B208" s="5" t="inlineStr">
        <is>
          <t>Okt '26</t>
        </is>
      </c>
      <c r="C208" s="11" t="n"/>
      <c r="D208" s="12">
        <f>Aannames!B31</f>
        <v/>
      </c>
      <c r="E208" s="12">
        <f>IF(C208="","",C208*D208)</f>
        <v/>
      </c>
    </row>
    <row r="209">
      <c r="A209" s="5" t="n">
        <v>4</v>
      </c>
      <c r="B209" s="5" t="inlineStr">
        <is>
          <t>Nov '26</t>
        </is>
      </c>
      <c r="C209" s="11" t="n"/>
      <c r="D209" s="12">
        <f>Aannames!B31</f>
        <v/>
      </c>
      <c r="E209" s="12">
        <f>IF(C209="","",C209*D209)</f>
        <v/>
      </c>
    </row>
    <row r="210">
      <c r="A210" s="5" t="n">
        <v>5</v>
      </c>
      <c r="B210" s="5" t="inlineStr">
        <is>
          <t>Dec '26</t>
        </is>
      </c>
      <c r="C210" s="11" t="n"/>
      <c r="D210" s="12">
        <f>Aannames!B31</f>
        <v/>
      </c>
      <c r="E210" s="12">
        <f>IF(C210="","",C210*D210)</f>
        <v/>
      </c>
    </row>
    <row r="211">
      <c r="A211" s="5" t="n">
        <v>6</v>
      </c>
      <c r="B211" s="5" t="inlineStr">
        <is>
          <t>Jan '27</t>
        </is>
      </c>
      <c r="C211" s="11" t="n"/>
      <c r="D211" s="12">
        <f>Aannames!B31</f>
        <v/>
      </c>
      <c r="E211" s="12">
        <f>IF(C211="","",C211*D211)</f>
        <v/>
      </c>
    </row>
    <row r="212">
      <c r="A212" s="5" t="n">
        <v>7</v>
      </c>
      <c r="B212" s="5" t="inlineStr">
        <is>
          <t>Feb '27</t>
        </is>
      </c>
      <c r="C212" s="11" t="n"/>
      <c r="D212" s="12">
        <f>Aannames!B31</f>
        <v/>
      </c>
      <c r="E212" s="12">
        <f>IF(C212="","",C212*D212)</f>
        <v/>
      </c>
    </row>
    <row r="213">
      <c r="A213" s="5" t="n">
        <v>8</v>
      </c>
      <c r="B213" s="5" t="inlineStr">
        <is>
          <t>Mrt '27</t>
        </is>
      </c>
      <c r="C213" s="11" t="n"/>
      <c r="D213" s="12">
        <f>Aannames!B31</f>
        <v/>
      </c>
      <c r="E213" s="12">
        <f>IF(C213="","",C213*D213)</f>
        <v/>
      </c>
    </row>
    <row r="214">
      <c r="A214" s="5" t="n">
        <v>9</v>
      </c>
      <c r="B214" s="5" t="inlineStr">
        <is>
          <t>Apr '27</t>
        </is>
      </c>
      <c r="C214" s="11" t="n"/>
      <c r="D214" s="12">
        <f>Aannames!B31</f>
        <v/>
      </c>
      <c r="E214" s="12">
        <f>IF(C214="","",C214*D214)</f>
        <v/>
      </c>
    </row>
    <row r="215">
      <c r="A215" s="5" t="n">
        <v>10</v>
      </c>
      <c r="B215" s="5" t="inlineStr">
        <is>
          <t>Mei '27</t>
        </is>
      </c>
      <c r="C215" s="11" t="n"/>
      <c r="D215" s="12">
        <f>Aannames!B31</f>
        <v/>
      </c>
      <c r="E215" s="12">
        <f>IF(C215="","",C215*D215)</f>
        <v/>
      </c>
    </row>
    <row r="216">
      <c r="A216" s="5" t="n">
        <v>11</v>
      </c>
      <c r="B216" s="5" t="inlineStr">
        <is>
          <t>Jun '27</t>
        </is>
      </c>
      <c r="C216" s="11" t="n"/>
      <c r="D216" s="12">
        <f>Aannames!B31</f>
        <v/>
      </c>
      <c r="E216" s="12">
        <f>IF(C216="","",C216*D216)</f>
        <v/>
      </c>
    </row>
    <row r="217">
      <c r="A217" s="5" t="n">
        <v>12</v>
      </c>
      <c r="B217" s="5" t="inlineStr">
        <is>
          <t>Jul '27</t>
        </is>
      </c>
      <c r="C217" s="11" t="n"/>
      <c r="D217" s="12">
        <f>Aannames!B31</f>
        <v/>
      </c>
      <c r="E217" s="12">
        <f>IF(C217="","",C217*D217)</f>
        <v/>
      </c>
    </row>
    <row r="218">
      <c r="A218" s="5" t="n">
        <v>13</v>
      </c>
      <c r="B218" s="5" t="inlineStr">
        <is>
          <t>Aug '27</t>
        </is>
      </c>
      <c r="C218" s="11" t="n"/>
      <c r="D218" s="12">
        <f>Aannames!B31</f>
        <v/>
      </c>
      <c r="E218" s="12">
        <f>IF(C218="","",C218*D218)</f>
        <v/>
      </c>
    </row>
    <row r="219">
      <c r="A219" s="5" t="n">
        <v>14</v>
      </c>
      <c r="B219" s="5" t="inlineStr">
        <is>
          <t>Sep '27</t>
        </is>
      </c>
      <c r="C219" s="11" t="n"/>
      <c r="D219" s="12">
        <f>Aannames!B31</f>
        <v/>
      </c>
      <c r="E219" s="12">
        <f>IF(C219="","",C219*D219)</f>
        <v/>
      </c>
    </row>
    <row r="220">
      <c r="A220" s="5" t="n">
        <v>15</v>
      </c>
      <c r="B220" s="5" t="inlineStr">
        <is>
          <t>Okt '27</t>
        </is>
      </c>
      <c r="C220" s="11" t="n"/>
      <c r="D220" s="12">
        <f>Aannames!B31</f>
        <v/>
      </c>
      <c r="E220" s="12">
        <f>IF(C220="","",C220*D220)</f>
        <v/>
      </c>
    </row>
    <row r="221">
      <c r="A221" s="5" t="n">
        <v>16</v>
      </c>
      <c r="B221" s="5" t="inlineStr">
        <is>
          <t>Nov '27</t>
        </is>
      </c>
      <c r="C221" s="11" t="n"/>
      <c r="D221" s="12">
        <f>Aannames!B31</f>
        <v/>
      </c>
      <c r="E221" s="12">
        <f>IF(C221="","",C221*D221)</f>
        <v/>
      </c>
    </row>
    <row r="222">
      <c r="A222" s="5" t="n">
        <v>17</v>
      </c>
      <c r="B222" s="5" t="inlineStr">
        <is>
          <t>Dec '27</t>
        </is>
      </c>
      <c r="C222" s="11" t="n"/>
      <c r="D222" s="12">
        <f>Aannames!B31</f>
        <v/>
      </c>
      <c r="E222" s="12">
        <f>IF(C222="","",C222*D222)</f>
        <v/>
      </c>
    </row>
    <row r="223">
      <c r="A223" s="5" t="n">
        <v>18</v>
      </c>
      <c r="B223" s="5" t="inlineStr">
        <is>
          <t>Jan '28</t>
        </is>
      </c>
      <c r="C223" s="11" t="n"/>
      <c r="D223" s="12">
        <f>Aannames!B31</f>
        <v/>
      </c>
      <c r="E223" s="12">
        <f>IF(C223="","",C223*D223)</f>
        <v/>
      </c>
    </row>
    <row r="224">
      <c r="A224" s="5" t="n">
        <v>19</v>
      </c>
      <c r="B224" s="5" t="inlineStr">
        <is>
          <t>Feb '28</t>
        </is>
      </c>
      <c r="C224" s="11" t="n"/>
      <c r="D224" s="12">
        <f>Aannames!B31</f>
        <v/>
      </c>
      <c r="E224" s="12">
        <f>IF(C224="","",C224*D224)</f>
        <v/>
      </c>
    </row>
    <row r="225">
      <c r="A225" s="5" t="n">
        <v>20</v>
      </c>
      <c r="B225" s="5" t="inlineStr">
        <is>
          <t>Mrt '28</t>
        </is>
      </c>
      <c r="C225" s="11" t="n"/>
      <c r="D225" s="12">
        <f>Aannames!B31</f>
        <v/>
      </c>
      <c r="E225" s="12">
        <f>IF(C225="","",C225*D225)</f>
        <v/>
      </c>
    </row>
    <row r="226">
      <c r="A226" s="5" t="n">
        <v>21</v>
      </c>
      <c r="B226" s="5" t="inlineStr">
        <is>
          <t>Apr '28</t>
        </is>
      </c>
      <c r="C226" s="11" t="n"/>
      <c r="D226" s="12">
        <f>Aannames!B31</f>
        <v/>
      </c>
      <c r="E226" s="12">
        <f>IF(C226="","",C226*D226)</f>
        <v/>
      </c>
    </row>
    <row r="227">
      <c r="A227" s="5" t="n">
        <v>22</v>
      </c>
      <c r="B227" s="5" t="inlineStr">
        <is>
          <t>Mei '28</t>
        </is>
      </c>
      <c r="C227" s="11" t="n"/>
      <c r="D227" s="12">
        <f>Aannames!B31</f>
        <v/>
      </c>
      <c r="E227" s="12">
        <f>IF(C227="","",C227*D227)</f>
        <v/>
      </c>
    </row>
    <row r="228">
      <c r="A228" s="5" t="n">
        <v>23</v>
      </c>
      <c r="B228" s="5" t="inlineStr">
        <is>
          <t>Jun '28</t>
        </is>
      </c>
      <c r="C228" s="11" t="n"/>
      <c r="D228" s="12">
        <f>Aannames!B31</f>
        <v/>
      </c>
      <c r="E228" s="12">
        <f>IF(C228="","",C228*D228)</f>
        <v/>
      </c>
    </row>
    <row r="229">
      <c r="A229" s="5" t="n">
        <v>24</v>
      </c>
      <c r="B229" s="5" t="inlineStr">
        <is>
          <t>Jul '28</t>
        </is>
      </c>
      <c r="C229" s="11" t="n"/>
      <c r="D229" s="12">
        <f>Aannames!B31</f>
        <v/>
      </c>
      <c r="E229" s="12">
        <f>IF(C229="","",C229*D229)</f>
        <v/>
      </c>
    </row>
    <row r="230">
      <c r="A230" s="5" t="n">
        <v>25</v>
      </c>
      <c r="B230" s="5" t="inlineStr">
        <is>
          <t>Aug '28</t>
        </is>
      </c>
      <c r="C230" s="11" t="n"/>
      <c r="D230" s="12">
        <f>Aannames!B31</f>
        <v/>
      </c>
      <c r="E230" s="12">
        <f>IF(C230="","",C230*D230)</f>
        <v/>
      </c>
    </row>
    <row r="231">
      <c r="A231" s="5" t="n">
        <v>26</v>
      </c>
      <c r="B231" s="5" t="inlineStr">
        <is>
          <t>Sep '28</t>
        </is>
      </c>
      <c r="C231" s="11" t="n"/>
      <c r="D231" s="12">
        <f>Aannames!B31</f>
        <v/>
      </c>
      <c r="E231" s="12">
        <f>IF(C231="","",C231*D231)</f>
        <v/>
      </c>
    </row>
    <row r="232">
      <c r="A232" s="5" t="n">
        <v>27</v>
      </c>
      <c r="B232" s="5" t="inlineStr">
        <is>
          <t>Okt '28</t>
        </is>
      </c>
      <c r="C232" s="11" t="n"/>
      <c r="D232" s="12">
        <f>Aannames!B31</f>
        <v/>
      </c>
      <c r="E232" s="12">
        <f>IF(C232="","",C232*D232)</f>
        <v/>
      </c>
    </row>
    <row r="233">
      <c r="A233" s="5" t="n">
        <v>28</v>
      </c>
      <c r="B233" s="5" t="inlineStr">
        <is>
          <t>Nov '28</t>
        </is>
      </c>
      <c r="C233" s="11" t="n"/>
      <c r="D233" s="12">
        <f>Aannames!B31</f>
        <v/>
      </c>
      <c r="E233" s="12">
        <f>IF(C233="","",C233*D233)</f>
        <v/>
      </c>
    </row>
    <row r="234">
      <c r="A234" s="5" t="n">
        <v>29</v>
      </c>
      <c r="B234" s="5" t="inlineStr">
        <is>
          <t>Dec '28</t>
        </is>
      </c>
      <c r="C234" s="11" t="n"/>
      <c r="D234" s="12">
        <f>Aannames!B31</f>
        <v/>
      </c>
      <c r="E234" s="12">
        <f>IF(C234="","",C234*D234)</f>
        <v/>
      </c>
    </row>
    <row r="235">
      <c r="A235" s="5" t="n">
        <v>30</v>
      </c>
      <c r="B235" s="5" t="inlineStr">
        <is>
          <t>Jan '29</t>
        </is>
      </c>
      <c r="C235" s="11" t="n"/>
      <c r="D235" s="12">
        <f>Aannames!B31</f>
        <v/>
      </c>
      <c r="E235" s="12">
        <f>IF(C235="","",C235*D235)</f>
        <v/>
      </c>
    </row>
    <row r="236">
      <c r="A236" s="5" t="n">
        <v>31</v>
      </c>
      <c r="B236" s="5" t="inlineStr">
        <is>
          <t>Feb '29</t>
        </is>
      </c>
      <c r="C236" s="11" t="n"/>
      <c r="D236" s="12">
        <f>Aannames!B31</f>
        <v/>
      </c>
      <c r="E236" s="12">
        <f>IF(C236="","",C236*D236)</f>
        <v/>
      </c>
    </row>
    <row r="237">
      <c r="A237" s="5" t="n">
        <v>32</v>
      </c>
      <c r="B237" s="5" t="inlineStr">
        <is>
          <t>Mrt '29</t>
        </is>
      </c>
      <c r="C237" s="11" t="n"/>
      <c r="D237" s="12">
        <f>Aannames!B31</f>
        <v/>
      </c>
      <c r="E237" s="12">
        <f>IF(C237="","",C237*D237)</f>
        <v/>
      </c>
    </row>
    <row r="238">
      <c r="A238" s="5" t="n">
        <v>33</v>
      </c>
      <c r="B238" s="5" t="inlineStr">
        <is>
          <t>Apr '29</t>
        </is>
      </c>
      <c r="C238" s="11" t="n"/>
      <c r="D238" s="12">
        <f>Aannames!B31</f>
        <v/>
      </c>
      <c r="E238" s="12">
        <f>IF(C238="","",C238*D238)</f>
        <v/>
      </c>
    </row>
    <row r="239">
      <c r="A239" s="5" t="n">
        <v>34</v>
      </c>
      <c r="B239" s="5" t="inlineStr">
        <is>
          <t>Mei '29</t>
        </is>
      </c>
      <c r="C239" s="11" t="n"/>
      <c r="D239" s="12">
        <f>Aannames!B31</f>
        <v/>
      </c>
      <c r="E239" s="12">
        <f>IF(C239="","",C239*D239)</f>
        <v/>
      </c>
    </row>
    <row r="240">
      <c r="A240" s="5" t="n">
        <v>35</v>
      </c>
      <c r="B240" s="5" t="inlineStr">
        <is>
          <t>Jun '29</t>
        </is>
      </c>
      <c r="C240" s="11" t="n"/>
      <c r="D240" s="12">
        <f>Aannames!B31</f>
        <v/>
      </c>
      <c r="E240" s="12">
        <f>IF(C240="","",C240*D240)</f>
        <v/>
      </c>
    </row>
    <row r="241">
      <c r="A241" s="5" t="n">
        <v>36</v>
      </c>
      <c r="B241" s="5" t="inlineStr">
        <is>
          <t>Jul '29</t>
        </is>
      </c>
      <c r="C241" s="11" t="n"/>
      <c r="D241" s="12">
        <f>Aannames!B31</f>
        <v/>
      </c>
      <c r="E241" s="12">
        <f>IF(C241="","",C241*D241)</f>
        <v/>
      </c>
    </row>
    <row r="242">
      <c r="A242" s="13" t="n"/>
      <c r="B242" s="14" t="inlineStr">
        <is>
          <t>TOTAAL</t>
        </is>
      </c>
      <c r="C242" s="14">
        <f>SUM(C206:C241)</f>
        <v/>
      </c>
      <c r="D242" s="13" t="n"/>
      <c r="E242" s="15">
        <f>SUM(E206:E241)</f>
        <v/>
      </c>
    </row>
    <row r="243"/>
    <row r="244"/>
    <row r="245">
      <c r="A245" s="16" t="inlineStr">
        <is>
          <t>TOTALE OMZET ALLE CATEGORIEEN</t>
        </is>
      </c>
      <c r="C245" s="17" t="n"/>
      <c r="D245" s="17" t="n"/>
      <c r="E245" s="18">
        <f>E42+E82+E122+E162+E202+E242</f>
        <v/>
      </c>
    </row>
  </sheetData>
  <mergeCells count="9">
    <mergeCell ref="A4:E4"/>
    <mergeCell ref="A2:E2"/>
    <mergeCell ref="A204:E204"/>
    <mergeCell ref="A164:E164"/>
    <mergeCell ref="A1:E1"/>
    <mergeCell ref="A84:E84"/>
    <mergeCell ref="A44:E44"/>
    <mergeCell ref="A245:B245"/>
    <mergeCell ref="A124:E1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HES Budget 2026-2029</t>
        </is>
      </c>
    </row>
    <row r="2"/>
    <row r="3">
      <c r="A3" s="10" t="inlineStr"/>
      <c r="B3" s="10" t="inlineStr">
        <is>
          <t>Aug '26</t>
        </is>
      </c>
      <c r="C3" s="10" t="inlineStr">
        <is>
          <t>Sep '26</t>
        </is>
      </c>
      <c r="D3" s="10" t="inlineStr">
        <is>
          <t>Okt '26</t>
        </is>
      </c>
      <c r="E3" s="10" t="inlineStr">
        <is>
          <t>Nov '26</t>
        </is>
      </c>
      <c r="F3" s="10" t="inlineStr">
        <is>
          <t>Dec '26</t>
        </is>
      </c>
      <c r="G3" s="10" t="inlineStr">
        <is>
          <t>Jan '27</t>
        </is>
      </c>
      <c r="H3" s="10" t="inlineStr">
        <is>
          <t>Feb '27</t>
        </is>
      </c>
      <c r="I3" s="10" t="inlineStr">
        <is>
          <t>Mrt '27</t>
        </is>
      </c>
      <c r="J3" s="10" t="inlineStr">
        <is>
          <t>Apr '27</t>
        </is>
      </c>
      <c r="K3" s="10" t="inlineStr">
        <is>
          <t>Mei '27</t>
        </is>
      </c>
      <c r="L3" s="10" t="inlineStr">
        <is>
          <t>Jun '27</t>
        </is>
      </c>
      <c r="M3" s="10" t="inlineStr">
        <is>
          <t>Jul '27</t>
        </is>
      </c>
      <c r="N3" s="10" t="inlineStr">
        <is>
          <t>Aug '27</t>
        </is>
      </c>
      <c r="O3" s="10" t="inlineStr">
        <is>
          <t>Sep '27</t>
        </is>
      </c>
      <c r="P3" s="10" t="inlineStr">
        <is>
          <t>Okt '27</t>
        </is>
      </c>
      <c r="Q3" s="10" t="inlineStr">
        <is>
          <t>Nov '27</t>
        </is>
      </c>
      <c r="R3" s="10" t="inlineStr">
        <is>
          <t>Dec '27</t>
        </is>
      </c>
      <c r="S3" s="10" t="inlineStr">
        <is>
          <t>Jan '28</t>
        </is>
      </c>
      <c r="T3" s="10" t="inlineStr">
        <is>
          <t>Feb '28</t>
        </is>
      </c>
      <c r="U3" s="10" t="inlineStr">
        <is>
          <t>Mrt '28</t>
        </is>
      </c>
      <c r="V3" s="10" t="inlineStr">
        <is>
          <t>Apr '28</t>
        </is>
      </c>
      <c r="W3" s="10" t="inlineStr">
        <is>
          <t>Mei '28</t>
        </is>
      </c>
      <c r="X3" s="10" t="inlineStr">
        <is>
          <t>Jun '28</t>
        </is>
      </c>
      <c r="Y3" s="10" t="inlineStr">
        <is>
          <t>Jul '28</t>
        </is>
      </c>
      <c r="Z3" s="10" t="inlineStr">
        <is>
          <t>Aug '28</t>
        </is>
      </c>
      <c r="AA3" s="10" t="inlineStr">
        <is>
          <t>Sep '28</t>
        </is>
      </c>
      <c r="AB3" s="10" t="inlineStr">
        <is>
          <t>Okt '28</t>
        </is>
      </c>
      <c r="AC3" s="10" t="inlineStr">
        <is>
          <t>Nov '28</t>
        </is>
      </c>
      <c r="AD3" s="10" t="inlineStr">
        <is>
          <t>Dec '28</t>
        </is>
      </c>
      <c r="AE3" s="10" t="inlineStr">
        <is>
          <t>Jan '29</t>
        </is>
      </c>
      <c r="AF3" s="10" t="inlineStr">
        <is>
          <t>Feb '29</t>
        </is>
      </c>
      <c r="AG3" s="10" t="inlineStr">
        <is>
          <t>Mrt '29</t>
        </is>
      </c>
      <c r="AH3" s="10" t="inlineStr">
        <is>
          <t>Apr '29</t>
        </is>
      </c>
      <c r="AI3" s="10" t="inlineStr">
        <is>
          <t>Mei '29</t>
        </is>
      </c>
      <c r="AJ3" s="10" t="inlineStr">
        <is>
          <t>Jun '29</t>
        </is>
      </c>
      <c r="AK3" s="10" t="inlineStr">
        <is>
          <t>Jul '29</t>
        </is>
      </c>
    </row>
    <row r="4">
      <c r="A4" s="3" t="inlineStr">
        <is>
          <t>OMZET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5" t="inlineStr">
        <is>
          <t>Batterijsystemen (ESS)</t>
        </is>
      </c>
      <c r="B5" s="12">
        <f>IFERROR('Verkoopprognose'!E6,0)</f>
        <v/>
      </c>
      <c r="C5" s="12">
        <f>IFERROR('Verkoopprognose'!E7,0)</f>
        <v/>
      </c>
      <c r="D5" s="12">
        <f>IFERROR('Verkoopprognose'!E8,0)</f>
        <v/>
      </c>
      <c r="E5" s="12">
        <f>IFERROR('Verkoopprognose'!E9,0)</f>
        <v/>
      </c>
      <c r="F5" s="12">
        <f>IFERROR('Verkoopprognose'!E10,0)</f>
        <v/>
      </c>
      <c r="G5" s="12">
        <f>IFERROR('Verkoopprognose'!E11,0)</f>
        <v/>
      </c>
      <c r="H5" s="12">
        <f>IFERROR('Verkoopprognose'!E12,0)</f>
        <v/>
      </c>
      <c r="I5" s="12">
        <f>IFERROR('Verkoopprognose'!E13,0)</f>
        <v/>
      </c>
      <c r="J5" s="12">
        <f>IFERROR('Verkoopprognose'!E14,0)</f>
        <v/>
      </c>
      <c r="K5" s="12">
        <f>IFERROR('Verkoopprognose'!E15,0)</f>
        <v/>
      </c>
      <c r="L5" s="12">
        <f>IFERROR('Verkoopprognose'!E16,0)</f>
        <v/>
      </c>
      <c r="M5" s="12">
        <f>IFERROR('Verkoopprognose'!E17,0)</f>
        <v/>
      </c>
      <c r="N5" s="12">
        <f>IFERROR('Verkoopprognose'!E18,0)</f>
        <v/>
      </c>
      <c r="O5" s="12">
        <f>IFERROR('Verkoopprognose'!E19,0)</f>
        <v/>
      </c>
      <c r="P5" s="12">
        <f>IFERROR('Verkoopprognose'!E20,0)</f>
        <v/>
      </c>
      <c r="Q5" s="12">
        <f>IFERROR('Verkoopprognose'!E21,0)</f>
        <v/>
      </c>
      <c r="R5" s="12">
        <f>IFERROR('Verkoopprognose'!E22,0)</f>
        <v/>
      </c>
      <c r="S5" s="12">
        <f>IFERROR('Verkoopprognose'!E23,0)</f>
        <v/>
      </c>
      <c r="T5" s="12">
        <f>IFERROR('Verkoopprognose'!E24,0)</f>
        <v/>
      </c>
      <c r="U5" s="12">
        <f>IFERROR('Verkoopprognose'!E25,0)</f>
        <v/>
      </c>
      <c r="V5" s="12">
        <f>IFERROR('Verkoopprognose'!E26,0)</f>
        <v/>
      </c>
      <c r="W5" s="12">
        <f>IFERROR('Verkoopprognose'!E27,0)</f>
        <v/>
      </c>
      <c r="X5" s="12">
        <f>IFERROR('Verkoopprognose'!E28,0)</f>
        <v/>
      </c>
      <c r="Y5" s="12">
        <f>IFERROR('Verkoopprognose'!E29,0)</f>
        <v/>
      </c>
      <c r="Z5" s="12">
        <f>IFERROR('Verkoopprognose'!E30,0)</f>
        <v/>
      </c>
      <c r="AA5" s="12">
        <f>IFERROR('Verkoopprognose'!E31,0)</f>
        <v/>
      </c>
      <c r="AB5" s="12">
        <f>IFERROR('Verkoopprognose'!E32,0)</f>
        <v/>
      </c>
      <c r="AC5" s="12">
        <f>IFERROR('Verkoopprognose'!E33,0)</f>
        <v/>
      </c>
      <c r="AD5" s="12">
        <f>IFERROR('Verkoopprognose'!E34,0)</f>
        <v/>
      </c>
      <c r="AE5" s="12">
        <f>IFERROR('Verkoopprognose'!E35,0)</f>
        <v/>
      </c>
      <c r="AF5" s="12">
        <f>IFERROR('Verkoopprognose'!E36,0)</f>
        <v/>
      </c>
      <c r="AG5" s="12">
        <f>IFERROR('Verkoopprognose'!E37,0)</f>
        <v/>
      </c>
      <c r="AH5" s="12">
        <f>IFERROR('Verkoopprognose'!E38,0)</f>
        <v/>
      </c>
      <c r="AI5" s="12">
        <f>IFERROR('Verkoopprognose'!E39,0)</f>
        <v/>
      </c>
      <c r="AJ5" s="12">
        <f>IFERROR('Verkoopprognose'!E40,0)</f>
        <v/>
      </c>
      <c r="AK5" s="12">
        <f>IFERROR('Verkoopprognose'!E41,0)</f>
        <v/>
      </c>
    </row>
    <row r="6">
      <c r="A6" s="5" t="inlineStr">
        <is>
          <t>AC Laadpalen</t>
        </is>
      </c>
      <c r="B6" s="12">
        <f>IFERROR('Verkoopprognose'!E46,0)</f>
        <v/>
      </c>
      <c r="C6" s="12">
        <f>IFERROR('Verkoopprognose'!E47,0)</f>
        <v/>
      </c>
      <c r="D6" s="12">
        <f>IFERROR('Verkoopprognose'!E48,0)</f>
        <v/>
      </c>
      <c r="E6" s="12">
        <f>IFERROR('Verkoopprognose'!E49,0)</f>
        <v/>
      </c>
      <c r="F6" s="12">
        <f>IFERROR('Verkoopprognose'!E50,0)</f>
        <v/>
      </c>
      <c r="G6" s="12">
        <f>IFERROR('Verkoopprognose'!E51,0)</f>
        <v/>
      </c>
      <c r="H6" s="12">
        <f>IFERROR('Verkoopprognose'!E52,0)</f>
        <v/>
      </c>
      <c r="I6" s="12">
        <f>IFERROR('Verkoopprognose'!E53,0)</f>
        <v/>
      </c>
      <c r="J6" s="12">
        <f>IFERROR('Verkoopprognose'!E54,0)</f>
        <v/>
      </c>
      <c r="K6" s="12">
        <f>IFERROR('Verkoopprognose'!E55,0)</f>
        <v/>
      </c>
      <c r="L6" s="12">
        <f>IFERROR('Verkoopprognose'!E56,0)</f>
        <v/>
      </c>
      <c r="M6" s="12">
        <f>IFERROR('Verkoopprognose'!E57,0)</f>
        <v/>
      </c>
      <c r="N6" s="12">
        <f>IFERROR('Verkoopprognose'!E58,0)</f>
        <v/>
      </c>
      <c r="O6" s="12">
        <f>IFERROR('Verkoopprognose'!E59,0)</f>
        <v/>
      </c>
      <c r="P6" s="12">
        <f>IFERROR('Verkoopprognose'!E60,0)</f>
        <v/>
      </c>
      <c r="Q6" s="12">
        <f>IFERROR('Verkoopprognose'!E61,0)</f>
        <v/>
      </c>
      <c r="R6" s="12">
        <f>IFERROR('Verkoopprognose'!E62,0)</f>
        <v/>
      </c>
      <c r="S6" s="12">
        <f>IFERROR('Verkoopprognose'!E63,0)</f>
        <v/>
      </c>
      <c r="T6" s="12">
        <f>IFERROR('Verkoopprognose'!E64,0)</f>
        <v/>
      </c>
      <c r="U6" s="12">
        <f>IFERROR('Verkoopprognose'!E65,0)</f>
        <v/>
      </c>
      <c r="V6" s="12">
        <f>IFERROR('Verkoopprognose'!E66,0)</f>
        <v/>
      </c>
      <c r="W6" s="12">
        <f>IFERROR('Verkoopprognose'!E67,0)</f>
        <v/>
      </c>
      <c r="X6" s="12">
        <f>IFERROR('Verkoopprognose'!E68,0)</f>
        <v/>
      </c>
      <c r="Y6" s="12">
        <f>IFERROR('Verkoopprognose'!E69,0)</f>
        <v/>
      </c>
      <c r="Z6" s="12">
        <f>IFERROR('Verkoopprognose'!E70,0)</f>
        <v/>
      </c>
      <c r="AA6" s="12">
        <f>IFERROR('Verkoopprognose'!E71,0)</f>
        <v/>
      </c>
      <c r="AB6" s="12">
        <f>IFERROR('Verkoopprognose'!E72,0)</f>
        <v/>
      </c>
      <c r="AC6" s="12">
        <f>IFERROR('Verkoopprognose'!E73,0)</f>
        <v/>
      </c>
      <c r="AD6" s="12">
        <f>IFERROR('Verkoopprognose'!E74,0)</f>
        <v/>
      </c>
      <c r="AE6" s="12">
        <f>IFERROR('Verkoopprognose'!E75,0)</f>
        <v/>
      </c>
      <c r="AF6" s="12">
        <f>IFERROR('Verkoopprognose'!E76,0)</f>
        <v/>
      </c>
      <c r="AG6" s="12">
        <f>IFERROR('Verkoopprognose'!E77,0)</f>
        <v/>
      </c>
      <c r="AH6" s="12">
        <f>IFERROR('Verkoopprognose'!E78,0)</f>
        <v/>
      </c>
      <c r="AI6" s="12">
        <f>IFERROR('Verkoopprognose'!E79,0)</f>
        <v/>
      </c>
      <c r="AJ6" s="12">
        <f>IFERROR('Verkoopprognose'!E80,0)</f>
        <v/>
      </c>
      <c r="AK6" s="12">
        <f>IFERROR('Verkoopprognose'!E81,0)</f>
        <v/>
      </c>
    </row>
    <row r="7">
      <c r="A7" s="5" t="inlineStr">
        <is>
          <t>DC Snelladers</t>
        </is>
      </c>
      <c r="B7" s="12">
        <f>IFERROR('Verkoopprognose'!E86,0)</f>
        <v/>
      </c>
      <c r="C7" s="12">
        <f>IFERROR('Verkoopprognose'!E87,0)</f>
        <v/>
      </c>
      <c r="D7" s="12">
        <f>IFERROR('Verkoopprognose'!E88,0)</f>
        <v/>
      </c>
      <c r="E7" s="12">
        <f>IFERROR('Verkoopprognose'!E89,0)</f>
        <v/>
      </c>
      <c r="F7" s="12">
        <f>IFERROR('Verkoopprognose'!E90,0)</f>
        <v/>
      </c>
      <c r="G7" s="12">
        <f>IFERROR('Verkoopprognose'!E91,0)</f>
        <v/>
      </c>
      <c r="H7" s="12">
        <f>IFERROR('Verkoopprognose'!E92,0)</f>
        <v/>
      </c>
      <c r="I7" s="12">
        <f>IFERROR('Verkoopprognose'!E93,0)</f>
        <v/>
      </c>
      <c r="J7" s="12">
        <f>IFERROR('Verkoopprognose'!E94,0)</f>
        <v/>
      </c>
      <c r="K7" s="12">
        <f>IFERROR('Verkoopprognose'!E95,0)</f>
        <v/>
      </c>
      <c r="L7" s="12">
        <f>IFERROR('Verkoopprognose'!E96,0)</f>
        <v/>
      </c>
      <c r="M7" s="12">
        <f>IFERROR('Verkoopprognose'!E97,0)</f>
        <v/>
      </c>
      <c r="N7" s="12">
        <f>IFERROR('Verkoopprognose'!E98,0)</f>
        <v/>
      </c>
      <c r="O7" s="12">
        <f>IFERROR('Verkoopprognose'!E99,0)</f>
        <v/>
      </c>
      <c r="P7" s="12">
        <f>IFERROR('Verkoopprognose'!E100,0)</f>
        <v/>
      </c>
      <c r="Q7" s="12">
        <f>IFERROR('Verkoopprognose'!E101,0)</f>
        <v/>
      </c>
      <c r="R7" s="12">
        <f>IFERROR('Verkoopprognose'!E102,0)</f>
        <v/>
      </c>
      <c r="S7" s="12">
        <f>IFERROR('Verkoopprognose'!E103,0)</f>
        <v/>
      </c>
      <c r="T7" s="12">
        <f>IFERROR('Verkoopprognose'!E104,0)</f>
        <v/>
      </c>
      <c r="U7" s="12">
        <f>IFERROR('Verkoopprognose'!E105,0)</f>
        <v/>
      </c>
      <c r="V7" s="12">
        <f>IFERROR('Verkoopprognose'!E106,0)</f>
        <v/>
      </c>
      <c r="W7" s="12">
        <f>IFERROR('Verkoopprognose'!E107,0)</f>
        <v/>
      </c>
      <c r="X7" s="12">
        <f>IFERROR('Verkoopprognose'!E108,0)</f>
        <v/>
      </c>
      <c r="Y7" s="12">
        <f>IFERROR('Verkoopprognose'!E109,0)</f>
        <v/>
      </c>
      <c r="Z7" s="12">
        <f>IFERROR('Verkoopprognose'!E110,0)</f>
        <v/>
      </c>
      <c r="AA7" s="12">
        <f>IFERROR('Verkoopprognose'!E111,0)</f>
        <v/>
      </c>
      <c r="AB7" s="12">
        <f>IFERROR('Verkoopprognose'!E112,0)</f>
        <v/>
      </c>
      <c r="AC7" s="12">
        <f>IFERROR('Verkoopprognose'!E113,0)</f>
        <v/>
      </c>
      <c r="AD7" s="12">
        <f>IFERROR('Verkoopprognose'!E114,0)</f>
        <v/>
      </c>
      <c r="AE7" s="12">
        <f>IFERROR('Verkoopprognose'!E115,0)</f>
        <v/>
      </c>
      <c r="AF7" s="12">
        <f>IFERROR('Verkoopprognose'!E116,0)</f>
        <v/>
      </c>
      <c r="AG7" s="12">
        <f>IFERROR('Verkoopprognose'!E117,0)</f>
        <v/>
      </c>
      <c r="AH7" s="12">
        <f>IFERROR('Verkoopprognose'!E118,0)</f>
        <v/>
      </c>
      <c r="AI7" s="12">
        <f>IFERROR('Verkoopprognose'!E119,0)</f>
        <v/>
      </c>
      <c r="AJ7" s="12">
        <f>IFERROR('Verkoopprognose'!E120,0)</f>
        <v/>
      </c>
      <c r="AK7" s="12">
        <f>IFERROR('Verkoopprognose'!E121,0)</f>
        <v/>
      </c>
    </row>
    <row r="8">
      <c r="A8" s="5" t="inlineStr">
        <is>
          <t>Laadopbrengst (EUR/kWh)</t>
        </is>
      </c>
      <c r="B8" s="12">
        <f>IFERROR((B6+B7)*Aannames!B20*Aannames!B21,0)</f>
        <v/>
      </c>
      <c r="C8" s="12">
        <f>IFERROR((C6+C7)*Aannames!B20*Aannames!B21,0)</f>
        <v/>
      </c>
      <c r="D8" s="12">
        <f>IFERROR((D6+D7)*Aannames!B20*Aannames!B21,0)</f>
        <v/>
      </c>
      <c r="E8" s="12">
        <f>IFERROR((E6+E7)*Aannames!B20*Aannames!B21,0)</f>
        <v/>
      </c>
      <c r="F8" s="12">
        <f>IFERROR((F6+F7)*Aannames!B20*Aannames!B21,0)</f>
        <v/>
      </c>
      <c r="G8" s="12">
        <f>IFERROR((G6+G7)*Aannames!B20*Aannames!B21,0)</f>
        <v/>
      </c>
      <c r="H8" s="12">
        <f>IFERROR((H6+H7)*Aannames!B20*Aannames!B21,0)</f>
        <v/>
      </c>
      <c r="I8" s="12">
        <f>IFERROR((I6+I7)*Aannames!B20*Aannames!B21,0)</f>
        <v/>
      </c>
      <c r="J8" s="12">
        <f>IFERROR((J6+J7)*Aannames!B20*Aannames!B21,0)</f>
        <v/>
      </c>
      <c r="K8" s="12">
        <f>IFERROR((K6+K7)*Aannames!B20*Aannames!B21,0)</f>
        <v/>
      </c>
      <c r="L8" s="12">
        <f>IFERROR((L6+L7)*Aannames!B20*Aannames!B21,0)</f>
        <v/>
      </c>
      <c r="M8" s="12">
        <f>IFERROR((M6+M7)*Aannames!B20*Aannames!B21,0)</f>
        <v/>
      </c>
      <c r="N8" s="12">
        <f>IFERROR((N6+N7)*Aannames!B20*Aannames!B21,0)</f>
        <v/>
      </c>
      <c r="O8" s="12">
        <f>IFERROR((O6+O7)*Aannames!B20*Aannames!B21,0)</f>
        <v/>
      </c>
      <c r="P8" s="12">
        <f>IFERROR((P6+P7)*Aannames!B20*Aannames!B21,0)</f>
        <v/>
      </c>
      <c r="Q8" s="12">
        <f>IFERROR((Q6+Q7)*Aannames!B20*Aannames!B21,0)</f>
        <v/>
      </c>
      <c r="R8" s="12">
        <f>IFERROR((R6+R7)*Aannames!B20*Aannames!B21,0)</f>
        <v/>
      </c>
      <c r="S8" s="12">
        <f>IFERROR((S6+S7)*Aannames!B20*Aannames!B21,0)</f>
        <v/>
      </c>
      <c r="T8" s="12">
        <f>IFERROR((T6+T7)*Aannames!B20*Aannames!B21,0)</f>
        <v/>
      </c>
      <c r="U8" s="12">
        <f>IFERROR((U6+U7)*Aannames!B20*Aannames!B21,0)</f>
        <v/>
      </c>
      <c r="V8" s="12">
        <f>IFERROR((V6+V7)*Aannames!B20*Aannames!B21,0)</f>
        <v/>
      </c>
      <c r="W8" s="12">
        <f>IFERROR((W6+W7)*Aannames!B20*Aannames!B21,0)</f>
        <v/>
      </c>
      <c r="X8" s="12">
        <f>IFERROR((X6+X7)*Aannames!B20*Aannames!B21,0)</f>
        <v/>
      </c>
      <c r="Y8" s="12">
        <f>IFERROR((Y6+Y7)*Aannames!B20*Aannames!B21,0)</f>
        <v/>
      </c>
      <c r="Z8" s="12">
        <f>IFERROR((Z6+Z7)*Aannames!B20*Aannames!B21,0)</f>
        <v/>
      </c>
      <c r="AA8" s="12">
        <f>IFERROR((AA6+AA7)*Aannames!B20*Aannames!B21,0)</f>
        <v/>
      </c>
      <c r="AB8" s="12">
        <f>IFERROR((AB6+AB7)*Aannames!B20*Aannames!B21,0)</f>
        <v/>
      </c>
      <c r="AC8" s="12">
        <f>IFERROR((AC6+AC7)*Aannames!B20*Aannames!B21,0)</f>
        <v/>
      </c>
      <c r="AD8" s="12">
        <f>IFERROR((AD6+AD7)*Aannames!B20*Aannames!B21,0)</f>
        <v/>
      </c>
      <c r="AE8" s="12">
        <f>IFERROR((AE6+AE7)*Aannames!B20*Aannames!B21,0)</f>
        <v/>
      </c>
      <c r="AF8" s="12">
        <f>IFERROR((AF6+AF7)*Aannames!B20*Aannames!B21,0)</f>
        <v/>
      </c>
      <c r="AG8" s="12">
        <f>IFERROR((AG6+AG7)*Aannames!B20*Aannames!B21,0)</f>
        <v/>
      </c>
      <c r="AH8" s="12">
        <f>IFERROR((AH6+AH7)*Aannames!B20*Aannames!B21,0)</f>
        <v/>
      </c>
      <c r="AI8" s="12">
        <f>IFERROR((AI6+AI7)*Aannames!B20*Aannames!B21,0)</f>
        <v/>
      </c>
      <c r="AJ8" s="12">
        <f>IFERROR((AJ6+AJ7)*Aannames!B20*Aannames!B21,0)</f>
        <v/>
      </c>
      <c r="AK8" s="12">
        <f>IFERROR((AK6+AK7)*Aannames!B20*Aannames!B21,0)</f>
        <v/>
      </c>
    </row>
    <row r="9">
      <c r="A9" s="5" t="inlineStr">
        <is>
          <t>Support en onderhoud</t>
        </is>
      </c>
      <c r="B9" s="12">
        <f>IFERROR('Verkoopprognose'!C126*Aannames!B24,0)</f>
        <v/>
      </c>
      <c r="C9" s="12">
        <f>IFERROR('Verkoopprognose'!C127*Aannames!B24,0)</f>
        <v/>
      </c>
      <c r="D9" s="12">
        <f>IFERROR('Verkoopprognose'!C128*Aannames!B24,0)</f>
        <v/>
      </c>
      <c r="E9" s="12">
        <f>IFERROR('Verkoopprognose'!C129*Aannames!B24,0)</f>
        <v/>
      </c>
      <c r="F9" s="12">
        <f>IFERROR('Verkoopprognose'!C130*Aannames!B24,0)</f>
        <v/>
      </c>
      <c r="G9" s="12">
        <f>IFERROR('Verkoopprognose'!C131*Aannames!B24,0)</f>
        <v/>
      </c>
      <c r="H9" s="12">
        <f>IFERROR('Verkoopprognose'!C132*Aannames!B24,0)</f>
        <v/>
      </c>
      <c r="I9" s="12">
        <f>IFERROR('Verkoopprognose'!C133*Aannames!B24,0)</f>
        <v/>
      </c>
      <c r="J9" s="12">
        <f>IFERROR('Verkoopprognose'!C134*Aannames!B24,0)</f>
        <v/>
      </c>
      <c r="K9" s="12">
        <f>IFERROR('Verkoopprognose'!C135*Aannames!B24,0)</f>
        <v/>
      </c>
      <c r="L9" s="12">
        <f>IFERROR('Verkoopprognose'!C136*Aannames!B24,0)</f>
        <v/>
      </c>
      <c r="M9" s="12">
        <f>IFERROR('Verkoopprognose'!C137*Aannames!B24,0)</f>
        <v/>
      </c>
      <c r="N9" s="12">
        <f>IFERROR('Verkoopprognose'!C138*Aannames!B24,0)</f>
        <v/>
      </c>
      <c r="O9" s="12">
        <f>IFERROR('Verkoopprognose'!C139*Aannames!B24,0)</f>
        <v/>
      </c>
      <c r="P9" s="12">
        <f>IFERROR('Verkoopprognose'!C140*Aannames!B24,0)</f>
        <v/>
      </c>
      <c r="Q9" s="12">
        <f>IFERROR('Verkoopprognose'!C141*Aannames!B24,0)</f>
        <v/>
      </c>
      <c r="R9" s="12">
        <f>IFERROR('Verkoopprognose'!C142*Aannames!B24,0)</f>
        <v/>
      </c>
      <c r="S9" s="12">
        <f>IFERROR('Verkoopprognose'!C143*Aannames!B24,0)</f>
        <v/>
      </c>
      <c r="T9" s="12">
        <f>IFERROR('Verkoopprognose'!C144*Aannames!B24,0)</f>
        <v/>
      </c>
      <c r="U9" s="12">
        <f>IFERROR('Verkoopprognose'!C145*Aannames!B24,0)</f>
        <v/>
      </c>
      <c r="V9" s="12">
        <f>IFERROR('Verkoopprognose'!C146*Aannames!B24,0)</f>
        <v/>
      </c>
      <c r="W9" s="12">
        <f>IFERROR('Verkoopprognose'!C147*Aannames!B24,0)</f>
        <v/>
      </c>
      <c r="X9" s="12">
        <f>IFERROR('Verkoopprognose'!C148*Aannames!B24,0)</f>
        <v/>
      </c>
      <c r="Y9" s="12">
        <f>IFERROR('Verkoopprognose'!C149*Aannames!B24,0)</f>
        <v/>
      </c>
      <c r="Z9" s="12">
        <f>IFERROR('Verkoopprognose'!C150*Aannames!B24,0)</f>
        <v/>
      </c>
      <c r="AA9" s="12">
        <f>IFERROR('Verkoopprognose'!C151*Aannames!B24,0)</f>
        <v/>
      </c>
      <c r="AB9" s="12">
        <f>IFERROR('Verkoopprognose'!C152*Aannames!B24,0)</f>
        <v/>
      </c>
      <c r="AC9" s="12">
        <f>IFERROR('Verkoopprognose'!C153*Aannames!B24,0)</f>
        <v/>
      </c>
      <c r="AD9" s="12">
        <f>IFERROR('Verkoopprognose'!C154*Aannames!B24,0)</f>
        <v/>
      </c>
      <c r="AE9" s="12">
        <f>IFERROR('Verkoopprognose'!C155*Aannames!B24,0)</f>
        <v/>
      </c>
      <c r="AF9" s="12">
        <f>IFERROR('Verkoopprognose'!C156*Aannames!B24,0)</f>
        <v/>
      </c>
      <c r="AG9" s="12">
        <f>IFERROR('Verkoopprognose'!C157*Aannames!B24,0)</f>
        <v/>
      </c>
      <c r="AH9" s="12">
        <f>IFERROR('Verkoopprognose'!C158*Aannames!B24,0)</f>
        <v/>
      </c>
      <c r="AI9" s="12">
        <f>IFERROR('Verkoopprognose'!C159*Aannames!B24,0)</f>
        <v/>
      </c>
      <c r="AJ9" s="12">
        <f>IFERROR('Verkoopprognose'!C160*Aannames!B24,0)</f>
        <v/>
      </c>
      <c r="AK9" s="12">
        <f>IFERROR('Verkoopprognose'!C161*Aannames!B24,0)</f>
        <v/>
      </c>
    </row>
    <row r="10">
      <c r="A10" s="5" t="inlineStr">
        <is>
          <t>Onderdelen en accessoires</t>
        </is>
      </c>
      <c r="B10" s="12">
        <f>IFERROR(Aannames!B42*(B5+B6+B7),0)</f>
        <v/>
      </c>
      <c r="C10" s="12">
        <f>IFERROR(Aannames!B42*(C5+C6+C7),0)</f>
        <v/>
      </c>
      <c r="D10" s="12">
        <f>IFERROR(Aannames!B42*(D5+D6+D7),0)</f>
        <v/>
      </c>
      <c r="E10" s="12">
        <f>IFERROR(Aannames!B42*(E5+E6+E7),0)</f>
        <v/>
      </c>
      <c r="F10" s="12">
        <f>IFERROR(Aannames!B42*(F5+F6+F7),0)</f>
        <v/>
      </c>
      <c r="G10" s="12">
        <f>IFERROR(Aannames!B42*(G5+G6+G7),0)</f>
        <v/>
      </c>
      <c r="H10" s="12">
        <f>IFERROR(Aannames!B42*(H5+H6+H7),0)</f>
        <v/>
      </c>
      <c r="I10" s="12">
        <f>IFERROR(Aannames!B42*(I5+I6+I7),0)</f>
        <v/>
      </c>
      <c r="J10" s="12">
        <f>IFERROR(Aannames!B42*(J5+J6+J7),0)</f>
        <v/>
      </c>
      <c r="K10" s="12">
        <f>IFERROR(Aannames!B42*(K5+K6+K7),0)</f>
        <v/>
      </c>
      <c r="L10" s="12">
        <f>IFERROR(Aannames!B42*(L5+L6+L7),0)</f>
        <v/>
      </c>
      <c r="M10" s="12">
        <f>IFERROR(Aannames!B42*(M5+M6+M7),0)</f>
        <v/>
      </c>
      <c r="N10" s="12">
        <f>IFERROR(Aannames!B42*(N5+N6+N7),0)</f>
        <v/>
      </c>
      <c r="O10" s="12">
        <f>IFERROR(Aannames!B42*(O5+O6+O7),0)</f>
        <v/>
      </c>
      <c r="P10" s="12">
        <f>IFERROR(Aannames!B42*(P5+P6+P7),0)</f>
        <v/>
      </c>
      <c r="Q10" s="12">
        <f>IFERROR(Aannames!B42*(Q5+Q6+Q7),0)</f>
        <v/>
      </c>
      <c r="R10" s="12">
        <f>IFERROR(Aannames!B42*(R5+R6+R7),0)</f>
        <v/>
      </c>
      <c r="S10" s="12">
        <f>IFERROR(Aannames!B42*(S5+S6+S7),0)</f>
        <v/>
      </c>
      <c r="T10" s="12">
        <f>IFERROR(Aannames!B42*(T5+T6+T7),0)</f>
        <v/>
      </c>
      <c r="U10" s="12">
        <f>IFERROR(Aannames!B42*(U5+U6+U7),0)</f>
        <v/>
      </c>
      <c r="V10" s="12">
        <f>IFERROR(Aannames!B42*(V5+V6+V7),0)</f>
        <v/>
      </c>
      <c r="W10" s="12">
        <f>IFERROR(Aannames!B42*(W5+W6+W7),0)</f>
        <v/>
      </c>
      <c r="X10" s="12">
        <f>IFERROR(Aannames!B42*(X5+X6+X7),0)</f>
        <v/>
      </c>
      <c r="Y10" s="12">
        <f>IFERROR(Aannames!B42*(Y5+Y6+Y7),0)</f>
        <v/>
      </c>
      <c r="Z10" s="12">
        <f>IFERROR(Aannames!B42*(Z5+Z6+Z7),0)</f>
        <v/>
      </c>
      <c r="AA10" s="12">
        <f>IFERROR(Aannames!B42*(AA5+AA6+AA7),0)</f>
        <v/>
      </c>
      <c r="AB10" s="12">
        <f>IFERROR(Aannames!B42*(AB5+AB6+AB7),0)</f>
        <v/>
      </c>
      <c r="AC10" s="12">
        <f>IFERROR(Aannames!B42*(AC5+AC6+AC7),0)</f>
        <v/>
      </c>
      <c r="AD10" s="12">
        <f>IFERROR(Aannames!B42*(AD5+AD6+AD7),0)</f>
        <v/>
      </c>
      <c r="AE10" s="12">
        <f>IFERROR(Aannames!B42*(AE5+AE6+AE7),0)</f>
        <v/>
      </c>
      <c r="AF10" s="12">
        <f>IFERROR(Aannames!B42*(AF5+AF6+AF7),0)</f>
        <v/>
      </c>
      <c r="AG10" s="12">
        <f>IFERROR(Aannames!B42*(AG5+AG6+AG7),0)</f>
        <v/>
      </c>
      <c r="AH10" s="12">
        <f>IFERROR(Aannames!B42*(AH5+AH6+AH7),0)</f>
        <v/>
      </c>
      <c r="AI10" s="12">
        <f>IFERROR(Aannames!B42*(AI5+AI6+AI7),0)</f>
        <v/>
      </c>
      <c r="AJ10" s="12">
        <f>IFERROR(Aannames!B42*(AJ5+AJ6+AJ7),0)</f>
        <v/>
      </c>
      <c r="AK10" s="12">
        <f>IFERROR(Aannames!B42*(AK5+AK6+AK7),0)</f>
        <v/>
      </c>
    </row>
    <row r="11">
      <c r="A11" s="5" t="inlineStr">
        <is>
          <t>Kickback zonnepanelen</t>
        </is>
      </c>
      <c r="B11" s="12">
        <f>IFERROR('Verkoopprognose'!C166*Aannames!B27*Aannames!B28,0)</f>
        <v/>
      </c>
      <c r="C11" s="12">
        <f>IFERROR('Verkoopprognose'!C167*Aannames!B27*Aannames!B28,0)</f>
        <v/>
      </c>
      <c r="D11" s="12">
        <f>IFERROR('Verkoopprognose'!C168*Aannames!B27*Aannames!B28,0)</f>
        <v/>
      </c>
      <c r="E11" s="12">
        <f>IFERROR('Verkoopprognose'!C169*Aannames!B27*Aannames!B28,0)</f>
        <v/>
      </c>
      <c r="F11" s="12">
        <f>IFERROR('Verkoopprognose'!C170*Aannames!B27*Aannames!B28,0)</f>
        <v/>
      </c>
      <c r="G11" s="12">
        <f>IFERROR('Verkoopprognose'!C171*Aannames!B27*Aannames!B28,0)</f>
        <v/>
      </c>
      <c r="H11" s="12">
        <f>IFERROR('Verkoopprognose'!C172*Aannames!B27*Aannames!B28,0)</f>
        <v/>
      </c>
      <c r="I11" s="12">
        <f>IFERROR('Verkoopprognose'!C173*Aannames!B27*Aannames!B28,0)</f>
        <v/>
      </c>
      <c r="J11" s="12">
        <f>IFERROR('Verkoopprognose'!C174*Aannames!B27*Aannames!B28,0)</f>
        <v/>
      </c>
      <c r="K11" s="12">
        <f>IFERROR('Verkoopprognose'!C175*Aannames!B27*Aannames!B28,0)</f>
        <v/>
      </c>
      <c r="L11" s="12">
        <f>IFERROR('Verkoopprognose'!C176*Aannames!B27*Aannames!B28,0)</f>
        <v/>
      </c>
      <c r="M11" s="12">
        <f>IFERROR('Verkoopprognose'!C177*Aannames!B27*Aannames!B28,0)</f>
        <v/>
      </c>
      <c r="N11" s="12">
        <f>IFERROR('Verkoopprognose'!C178*Aannames!B27*Aannames!B28,0)</f>
        <v/>
      </c>
      <c r="O11" s="12">
        <f>IFERROR('Verkoopprognose'!C179*Aannames!B27*Aannames!B28,0)</f>
        <v/>
      </c>
      <c r="P11" s="12">
        <f>IFERROR('Verkoopprognose'!C180*Aannames!B27*Aannames!B28,0)</f>
        <v/>
      </c>
      <c r="Q11" s="12">
        <f>IFERROR('Verkoopprognose'!C181*Aannames!B27*Aannames!B28,0)</f>
        <v/>
      </c>
      <c r="R11" s="12">
        <f>IFERROR('Verkoopprognose'!C182*Aannames!B27*Aannames!B28,0)</f>
        <v/>
      </c>
      <c r="S11" s="12">
        <f>IFERROR('Verkoopprognose'!C183*Aannames!B27*Aannames!B28,0)</f>
        <v/>
      </c>
      <c r="T11" s="12">
        <f>IFERROR('Verkoopprognose'!C184*Aannames!B27*Aannames!B28,0)</f>
        <v/>
      </c>
      <c r="U11" s="12">
        <f>IFERROR('Verkoopprognose'!C185*Aannames!B27*Aannames!B28,0)</f>
        <v/>
      </c>
      <c r="V11" s="12">
        <f>IFERROR('Verkoopprognose'!C186*Aannames!B27*Aannames!B28,0)</f>
        <v/>
      </c>
      <c r="W11" s="12">
        <f>IFERROR('Verkoopprognose'!C187*Aannames!B27*Aannames!B28,0)</f>
        <v/>
      </c>
      <c r="X11" s="12">
        <f>IFERROR('Verkoopprognose'!C188*Aannames!B27*Aannames!B28,0)</f>
        <v/>
      </c>
      <c r="Y11" s="12">
        <f>IFERROR('Verkoopprognose'!C189*Aannames!B27*Aannames!B28,0)</f>
        <v/>
      </c>
      <c r="Z11" s="12">
        <f>IFERROR('Verkoopprognose'!C190*Aannames!B27*Aannames!B28,0)</f>
        <v/>
      </c>
      <c r="AA11" s="12">
        <f>IFERROR('Verkoopprognose'!C191*Aannames!B27*Aannames!B28,0)</f>
        <v/>
      </c>
      <c r="AB11" s="12">
        <f>IFERROR('Verkoopprognose'!C192*Aannames!B27*Aannames!B28,0)</f>
        <v/>
      </c>
      <c r="AC11" s="12">
        <f>IFERROR('Verkoopprognose'!C193*Aannames!B27*Aannames!B28,0)</f>
        <v/>
      </c>
      <c r="AD11" s="12">
        <f>IFERROR('Verkoopprognose'!C194*Aannames!B27*Aannames!B28,0)</f>
        <v/>
      </c>
      <c r="AE11" s="12">
        <f>IFERROR('Verkoopprognose'!C195*Aannames!B27*Aannames!B28,0)</f>
        <v/>
      </c>
      <c r="AF11" s="12">
        <f>IFERROR('Verkoopprognose'!C196*Aannames!B27*Aannames!B28,0)</f>
        <v/>
      </c>
      <c r="AG11" s="12">
        <f>IFERROR('Verkoopprognose'!C197*Aannames!B27*Aannames!B28,0)</f>
        <v/>
      </c>
      <c r="AH11" s="12">
        <f>IFERROR('Verkoopprognose'!C198*Aannames!B27*Aannames!B28,0)</f>
        <v/>
      </c>
      <c r="AI11" s="12">
        <f>IFERROR('Verkoopprognose'!C199*Aannames!B27*Aannames!B28,0)</f>
        <v/>
      </c>
      <c r="AJ11" s="12">
        <f>IFERROR('Verkoopprognose'!C200*Aannames!B27*Aannames!B28,0)</f>
        <v/>
      </c>
      <c r="AK11" s="12">
        <f>IFERROR('Verkoopprognose'!C201*Aannames!B27*Aannames!B28,0)</f>
        <v/>
      </c>
    </row>
    <row r="12">
      <c r="A12" s="5" t="inlineStr">
        <is>
          <t>Extra garantie</t>
        </is>
      </c>
      <c r="B12" s="12">
        <f>IFERROR('Verkoopprognose'!C206*Aannames!B31*Aannames!B32,0)</f>
        <v/>
      </c>
      <c r="C12" s="12">
        <f>IFERROR('Verkoopprognose'!C207*Aannames!B31*Aannames!B32,0)</f>
        <v/>
      </c>
      <c r="D12" s="12">
        <f>IFERROR('Verkoopprognose'!C208*Aannames!B31*Aannames!B32,0)</f>
        <v/>
      </c>
      <c r="E12" s="12">
        <f>IFERROR('Verkoopprognose'!C209*Aannames!B31*Aannames!B32,0)</f>
        <v/>
      </c>
      <c r="F12" s="12">
        <f>IFERROR('Verkoopprognose'!C210*Aannames!B31*Aannames!B32,0)</f>
        <v/>
      </c>
      <c r="G12" s="12">
        <f>IFERROR('Verkoopprognose'!C211*Aannames!B31*Aannames!B32,0)</f>
        <v/>
      </c>
      <c r="H12" s="12">
        <f>IFERROR('Verkoopprognose'!C212*Aannames!B31*Aannames!B32,0)</f>
        <v/>
      </c>
      <c r="I12" s="12">
        <f>IFERROR('Verkoopprognose'!C213*Aannames!B31*Aannames!B32,0)</f>
        <v/>
      </c>
      <c r="J12" s="12">
        <f>IFERROR('Verkoopprognose'!C214*Aannames!B31*Aannames!B32,0)</f>
        <v/>
      </c>
      <c r="K12" s="12">
        <f>IFERROR('Verkoopprognose'!C215*Aannames!B31*Aannames!B32,0)</f>
        <v/>
      </c>
      <c r="L12" s="12">
        <f>IFERROR('Verkoopprognose'!C216*Aannames!B31*Aannames!B32,0)</f>
        <v/>
      </c>
      <c r="M12" s="12">
        <f>IFERROR('Verkoopprognose'!C217*Aannames!B31*Aannames!B32,0)</f>
        <v/>
      </c>
      <c r="N12" s="12">
        <f>IFERROR('Verkoopprognose'!C218*Aannames!B31*Aannames!B32,0)</f>
        <v/>
      </c>
      <c r="O12" s="12">
        <f>IFERROR('Verkoopprognose'!C219*Aannames!B31*Aannames!B32,0)</f>
        <v/>
      </c>
      <c r="P12" s="12">
        <f>IFERROR('Verkoopprognose'!C220*Aannames!B31*Aannames!B32,0)</f>
        <v/>
      </c>
      <c r="Q12" s="12">
        <f>IFERROR('Verkoopprognose'!C221*Aannames!B31*Aannames!B32,0)</f>
        <v/>
      </c>
      <c r="R12" s="12">
        <f>IFERROR('Verkoopprognose'!C222*Aannames!B31*Aannames!B32,0)</f>
        <v/>
      </c>
      <c r="S12" s="12">
        <f>IFERROR('Verkoopprognose'!C223*Aannames!B31*Aannames!B32,0)</f>
        <v/>
      </c>
      <c r="T12" s="12">
        <f>IFERROR('Verkoopprognose'!C224*Aannames!B31*Aannames!B32,0)</f>
        <v/>
      </c>
      <c r="U12" s="12">
        <f>IFERROR('Verkoopprognose'!C225*Aannames!B31*Aannames!B32,0)</f>
        <v/>
      </c>
      <c r="V12" s="12">
        <f>IFERROR('Verkoopprognose'!C226*Aannames!B31*Aannames!B32,0)</f>
        <v/>
      </c>
      <c r="W12" s="12">
        <f>IFERROR('Verkoopprognose'!C227*Aannames!B31*Aannames!B32,0)</f>
        <v/>
      </c>
      <c r="X12" s="12">
        <f>IFERROR('Verkoopprognose'!C228*Aannames!B31*Aannames!B32,0)</f>
        <v/>
      </c>
      <c r="Y12" s="12">
        <f>IFERROR('Verkoopprognose'!C229*Aannames!B31*Aannames!B32,0)</f>
        <v/>
      </c>
      <c r="Z12" s="12">
        <f>IFERROR('Verkoopprognose'!C230*Aannames!B31*Aannames!B32,0)</f>
        <v/>
      </c>
      <c r="AA12" s="12">
        <f>IFERROR('Verkoopprognose'!C231*Aannames!B31*Aannames!B32,0)</f>
        <v/>
      </c>
      <c r="AB12" s="12">
        <f>IFERROR('Verkoopprognose'!C232*Aannames!B31*Aannames!B32,0)</f>
        <v/>
      </c>
      <c r="AC12" s="12">
        <f>IFERROR('Verkoopprognose'!C233*Aannames!B31*Aannames!B32,0)</f>
        <v/>
      </c>
      <c r="AD12" s="12">
        <f>IFERROR('Verkoopprognose'!C234*Aannames!B31*Aannames!B32,0)</f>
        <v/>
      </c>
      <c r="AE12" s="12">
        <f>IFERROR('Verkoopprognose'!C235*Aannames!B31*Aannames!B32,0)</f>
        <v/>
      </c>
      <c r="AF12" s="12">
        <f>IFERROR('Verkoopprognose'!C236*Aannames!B31*Aannames!B32,0)</f>
        <v/>
      </c>
      <c r="AG12" s="12">
        <f>IFERROR('Verkoopprognose'!C237*Aannames!B31*Aannames!B32,0)</f>
        <v/>
      </c>
      <c r="AH12" s="12">
        <f>IFERROR('Verkoopprognose'!C238*Aannames!B31*Aannames!B32,0)</f>
        <v/>
      </c>
      <c r="AI12" s="12">
        <f>IFERROR('Verkoopprognose'!C239*Aannames!B31*Aannames!B32,0)</f>
        <v/>
      </c>
      <c r="AJ12" s="12">
        <f>IFERROR('Verkoopprognose'!C240*Aannames!B31*Aannames!B32,0)</f>
        <v/>
      </c>
      <c r="AK12" s="12">
        <f>IFERROR('Verkoopprognose'!C241*Aannames!B31*Aannames!B32,0)</f>
        <v/>
      </c>
    </row>
    <row r="13">
      <c r="A13" s="14" t="inlineStr">
        <is>
          <t>TOTALE OMZET</t>
        </is>
      </c>
      <c r="B13" s="15">
        <f>IFERROR(SUM(B5:B12),0)</f>
        <v/>
      </c>
      <c r="C13" s="15">
        <f>IFERROR(SUM(C5:C12),0)</f>
        <v/>
      </c>
      <c r="D13" s="15">
        <f>IFERROR(SUM(D5:D12),0)</f>
        <v/>
      </c>
      <c r="E13" s="15">
        <f>IFERROR(SUM(E5:E12),0)</f>
        <v/>
      </c>
      <c r="F13" s="15">
        <f>IFERROR(SUM(F5:F12),0)</f>
        <v/>
      </c>
      <c r="G13" s="15">
        <f>IFERROR(SUM(G5:G12),0)</f>
        <v/>
      </c>
      <c r="H13" s="15">
        <f>IFERROR(SUM(H5:H12),0)</f>
        <v/>
      </c>
      <c r="I13" s="15">
        <f>IFERROR(SUM(I5:I12),0)</f>
        <v/>
      </c>
      <c r="J13" s="15">
        <f>IFERROR(SUM(J5:J12),0)</f>
        <v/>
      </c>
      <c r="K13" s="15">
        <f>IFERROR(SUM(K5:K12),0)</f>
        <v/>
      </c>
      <c r="L13" s="15">
        <f>IFERROR(SUM(L5:L12),0)</f>
        <v/>
      </c>
      <c r="M13" s="15">
        <f>IFERROR(SUM(M5:M12),0)</f>
        <v/>
      </c>
      <c r="N13" s="15">
        <f>IFERROR(SUM(N5:N12),0)</f>
        <v/>
      </c>
      <c r="O13" s="15">
        <f>IFERROR(SUM(O5:O12),0)</f>
        <v/>
      </c>
      <c r="P13" s="15">
        <f>IFERROR(SUM(P5:P12),0)</f>
        <v/>
      </c>
      <c r="Q13" s="15">
        <f>IFERROR(SUM(Q5:Q12),0)</f>
        <v/>
      </c>
      <c r="R13" s="15">
        <f>IFERROR(SUM(R5:R12),0)</f>
        <v/>
      </c>
      <c r="S13" s="15">
        <f>IFERROR(SUM(S5:S12),0)</f>
        <v/>
      </c>
      <c r="T13" s="15">
        <f>IFERROR(SUM(T5:T12),0)</f>
        <v/>
      </c>
      <c r="U13" s="15">
        <f>IFERROR(SUM(U5:U12),0)</f>
        <v/>
      </c>
      <c r="V13" s="15">
        <f>IFERROR(SUM(V5:V12),0)</f>
        <v/>
      </c>
      <c r="W13" s="15">
        <f>IFERROR(SUM(W5:W12),0)</f>
        <v/>
      </c>
      <c r="X13" s="15">
        <f>IFERROR(SUM(X5:X12),0)</f>
        <v/>
      </c>
      <c r="Y13" s="15">
        <f>IFERROR(SUM(Y5:Y12),0)</f>
        <v/>
      </c>
      <c r="Z13" s="15">
        <f>IFERROR(SUM(Z5:Z12),0)</f>
        <v/>
      </c>
      <c r="AA13" s="15">
        <f>IFERROR(SUM(AA5:AA12),0)</f>
        <v/>
      </c>
      <c r="AB13" s="15">
        <f>IFERROR(SUM(AB5:AB12),0)</f>
        <v/>
      </c>
      <c r="AC13" s="15">
        <f>IFERROR(SUM(AC5:AC12),0)</f>
        <v/>
      </c>
      <c r="AD13" s="15">
        <f>IFERROR(SUM(AD5:AD12),0)</f>
        <v/>
      </c>
      <c r="AE13" s="15">
        <f>IFERROR(SUM(AE5:AE12),0)</f>
        <v/>
      </c>
      <c r="AF13" s="15">
        <f>IFERROR(SUM(AF5:AF12),0)</f>
        <v/>
      </c>
      <c r="AG13" s="15">
        <f>IFERROR(SUM(AG5:AG12),0)</f>
        <v/>
      </c>
      <c r="AH13" s="15">
        <f>IFERROR(SUM(AH5:AH12),0)</f>
        <v/>
      </c>
      <c r="AI13" s="15">
        <f>IFERROR(SUM(AI5:AI12),0)</f>
        <v/>
      </c>
      <c r="AJ13" s="15">
        <f>IFERROR(SUM(AJ5:AJ12),0)</f>
        <v/>
      </c>
      <c r="AK13" s="15">
        <f>IFERROR(SUM(AK5:AK12),0)</f>
        <v/>
      </c>
    </row>
    <row r="14"/>
    <row r="15">
      <c r="A15" s="3" t="inlineStr">
        <is>
          <t>KOSTEN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>
      <c r="A16" s="5" t="inlineStr">
        <is>
          <t>Inkoop batterijsystemen</t>
        </is>
      </c>
      <c r="B16" s="12">
        <f>IFERROR('Verkoopprognose'!C6*Kosten!C6,0)</f>
        <v/>
      </c>
      <c r="C16" s="12">
        <f>IFERROR('Verkoopprognose'!C7*Kosten!C6,0)</f>
        <v/>
      </c>
      <c r="D16" s="12">
        <f>IFERROR('Verkoopprognose'!C8*Kosten!C6,0)</f>
        <v/>
      </c>
      <c r="E16" s="12">
        <f>IFERROR('Verkoopprognose'!C9*Kosten!C6,0)</f>
        <v/>
      </c>
      <c r="F16" s="12">
        <f>IFERROR('Verkoopprognose'!C10*Kosten!C6,0)</f>
        <v/>
      </c>
      <c r="G16" s="12">
        <f>IFERROR('Verkoopprognose'!C11*Kosten!C6,0)</f>
        <v/>
      </c>
      <c r="H16" s="12">
        <f>IFERROR('Verkoopprognose'!C12*Kosten!C6,0)</f>
        <v/>
      </c>
      <c r="I16" s="12">
        <f>IFERROR('Verkoopprognose'!C13*Kosten!C6,0)</f>
        <v/>
      </c>
      <c r="J16" s="12">
        <f>IFERROR('Verkoopprognose'!C14*Kosten!C6,0)</f>
        <v/>
      </c>
      <c r="K16" s="12">
        <f>IFERROR('Verkoopprognose'!C15*Kosten!C6,0)</f>
        <v/>
      </c>
      <c r="L16" s="12">
        <f>IFERROR('Verkoopprognose'!C16*Kosten!C6,0)</f>
        <v/>
      </c>
      <c r="M16" s="12">
        <f>IFERROR('Verkoopprognose'!C17*Kosten!C6,0)</f>
        <v/>
      </c>
      <c r="N16" s="12">
        <f>IFERROR('Verkoopprognose'!C18*Kosten!C6,0)</f>
        <v/>
      </c>
      <c r="O16" s="12">
        <f>IFERROR('Verkoopprognose'!C19*Kosten!C6,0)</f>
        <v/>
      </c>
      <c r="P16" s="12">
        <f>IFERROR('Verkoopprognose'!C20*Kosten!C6,0)</f>
        <v/>
      </c>
      <c r="Q16" s="12">
        <f>IFERROR('Verkoopprognose'!C21*Kosten!C6,0)</f>
        <v/>
      </c>
      <c r="R16" s="12">
        <f>IFERROR('Verkoopprognose'!C22*Kosten!C6,0)</f>
        <v/>
      </c>
      <c r="S16" s="12">
        <f>IFERROR('Verkoopprognose'!C23*Kosten!C6,0)</f>
        <v/>
      </c>
      <c r="T16" s="12">
        <f>IFERROR('Verkoopprognose'!C24*Kosten!C6,0)</f>
        <v/>
      </c>
      <c r="U16" s="12">
        <f>IFERROR('Verkoopprognose'!C25*Kosten!C6,0)</f>
        <v/>
      </c>
      <c r="V16" s="12">
        <f>IFERROR('Verkoopprognose'!C26*Kosten!C6,0)</f>
        <v/>
      </c>
      <c r="W16" s="12">
        <f>IFERROR('Verkoopprognose'!C27*Kosten!C6,0)</f>
        <v/>
      </c>
      <c r="X16" s="12">
        <f>IFERROR('Verkoopprognose'!C28*Kosten!C6,0)</f>
        <v/>
      </c>
      <c r="Y16" s="12">
        <f>IFERROR('Verkoopprognose'!C29*Kosten!C6,0)</f>
        <v/>
      </c>
      <c r="Z16" s="12">
        <f>IFERROR('Verkoopprognose'!C30*Kosten!C6,0)</f>
        <v/>
      </c>
      <c r="AA16" s="12">
        <f>IFERROR('Verkoopprognose'!C31*Kosten!C6,0)</f>
        <v/>
      </c>
      <c r="AB16" s="12">
        <f>IFERROR('Verkoopprognose'!C32*Kosten!C6,0)</f>
        <v/>
      </c>
      <c r="AC16" s="12">
        <f>IFERROR('Verkoopprognose'!C33*Kosten!C6,0)</f>
        <v/>
      </c>
      <c r="AD16" s="12">
        <f>IFERROR('Verkoopprognose'!C34*Kosten!C6,0)</f>
        <v/>
      </c>
      <c r="AE16" s="12">
        <f>IFERROR('Verkoopprognose'!C35*Kosten!C6,0)</f>
        <v/>
      </c>
      <c r="AF16" s="12">
        <f>IFERROR('Verkoopprognose'!C36*Kosten!C6,0)</f>
        <v/>
      </c>
      <c r="AG16" s="12">
        <f>IFERROR('Verkoopprognose'!C37*Kosten!C6,0)</f>
        <v/>
      </c>
      <c r="AH16" s="12">
        <f>IFERROR('Verkoopprognose'!C38*Kosten!C6,0)</f>
        <v/>
      </c>
      <c r="AI16" s="12">
        <f>IFERROR('Verkoopprognose'!C39*Kosten!C6,0)</f>
        <v/>
      </c>
      <c r="AJ16" s="12">
        <f>IFERROR('Verkoopprognose'!C40*Kosten!C6,0)</f>
        <v/>
      </c>
      <c r="AK16" s="12">
        <f>IFERROR('Verkoopprognose'!C41*Kosten!C6,0)</f>
        <v/>
      </c>
    </row>
    <row r="17">
      <c r="A17" s="5" t="inlineStr">
        <is>
          <t>Inkoop AC laadpalen</t>
        </is>
      </c>
      <c r="B17" s="12">
        <f>IFERROR('Verkoopprognose'!C46*Kosten!C7,0)</f>
        <v/>
      </c>
      <c r="C17" s="12">
        <f>IFERROR('Verkoopprognose'!C47*Kosten!C7,0)</f>
        <v/>
      </c>
      <c r="D17" s="12">
        <f>IFERROR('Verkoopprognose'!C48*Kosten!C7,0)</f>
        <v/>
      </c>
      <c r="E17" s="12">
        <f>IFERROR('Verkoopprognose'!C49*Kosten!C7,0)</f>
        <v/>
      </c>
      <c r="F17" s="12">
        <f>IFERROR('Verkoopprognose'!C50*Kosten!C7,0)</f>
        <v/>
      </c>
      <c r="G17" s="12">
        <f>IFERROR('Verkoopprognose'!C51*Kosten!C7,0)</f>
        <v/>
      </c>
      <c r="H17" s="12">
        <f>IFERROR('Verkoopprognose'!C52*Kosten!C7,0)</f>
        <v/>
      </c>
      <c r="I17" s="12">
        <f>IFERROR('Verkoopprognose'!C53*Kosten!C7,0)</f>
        <v/>
      </c>
      <c r="J17" s="12">
        <f>IFERROR('Verkoopprognose'!C54*Kosten!C7,0)</f>
        <v/>
      </c>
      <c r="K17" s="12">
        <f>IFERROR('Verkoopprognose'!C55*Kosten!C7,0)</f>
        <v/>
      </c>
      <c r="L17" s="12">
        <f>IFERROR('Verkoopprognose'!C56*Kosten!C7,0)</f>
        <v/>
      </c>
      <c r="M17" s="12">
        <f>IFERROR('Verkoopprognose'!C57*Kosten!C7,0)</f>
        <v/>
      </c>
      <c r="N17" s="12">
        <f>IFERROR('Verkoopprognose'!C58*Kosten!C7,0)</f>
        <v/>
      </c>
      <c r="O17" s="12">
        <f>IFERROR('Verkoopprognose'!C59*Kosten!C7,0)</f>
        <v/>
      </c>
      <c r="P17" s="12">
        <f>IFERROR('Verkoopprognose'!C60*Kosten!C7,0)</f>
        <v/>
      </c>
      <c r="Q17" s="12">
        <f>IFERROR('Verkoopprognose'!C61*Kosten!C7,0)</f>
        <v/>
      </c>
      <c r="R17" s="12">
        <f>IFERROR('Verkoopprognose'!C62*Kosten!C7,0)</f>
        <v/>
      </c>
      <c r="S17" s="12">
        <f>IFERROR('Verkoopprognose'!C63*Kosten!C7,0)</f>
        <v/>
      </c>
      <c r="T17" s="12">
        <f>IFERROR('Verkoopprognose'!C64*Kosten!C7,0)</f>
        <v/>
      </c>
      <c r="U17" s="12">
        <f>IFERROR('Verkoopprognose'!C65*Kosten!C7,0)</f>
        <v/>
      </c>
      <c r="V17" s="12">
        <f>IFERROR('Verkoopprognose'!C66*Kosten!C7,0)</f>
        <v/>
      </c>
      <c r="W17" s="12">
        <f>IFERROR('Verkoopprognose'!C67*Kosten!C7,0)</f>
        <v/>
      </c>
      <c r="X17" s="12">
        <f>IFERROR('Verkoopprognose'!C68*Kosten!C7,0)</f>
        <v/>
      </c>
      <c r="Y17" s="12">
        <f>IFERROR('Verkoopprognose'!C69*Kosten!C7,0)</f>
        <v/>
      </c>
      <c r="Z17" s="12">
        <f>IFERROR('Verkoopprognose'!C70*Kosten!C7,0)</f>
        <v/>
      </c>
      <c r="AA17" s="12">
        <f>IFERROR('Verkoopprognose'!C71*Kosten!C7,0)</f>
        <v/>
      </c>
      <c r="AB17" s="12">
        <f>IFERROR('Verkoopprognose'!C72*Kosten!C7,0)</f>
        <v/>
      </c>
      <c r="AC17" s="12">
        <f>IFERROR('Verkoopprognose'!C73*Kosten!C7,0)</f>
        <v/>
      </c>
      <c r="AD17" s="12">
        <f>IFERROR('Verkoopprognose'!C74*Kosten!C7,0)</f>
        <v/>
      </c>
      <c r="AE17" s="12">
        <f>IFERROR('Verkoopprognose'!C75*Kosten!C7,0)</f>
        <v/>
      </c>
      <c r="AF17" s="12">
        <f>IFERROR('Verkoopprognose'!C76*Kosten!C7,0)</f>
        <v/>
      </c>
      <c r="AG17" s="12">
        <f>IFERROR('Verkoopprognose'!C77*Kosten!C7,0)</f>
        <v/>
      </c>
      <c r="AH17" s="12">
        <f>IFERROR('Verkoopprognose'!C78*Kosten!C7,0)</f>
        <v/>
      </c>
      <c r="AI17" s="12">
        <f>IFERROR('Verkoopprognose'!C79*Kosten!C7,0)</f>
        <v/>
      </c>
      <c r="AJ17" s="12">
        <f>IFERROR('Verkoopprognose'!C80*Kosten!C7,0)</f>
        <v/>
      </c>
      <c r="AK17" s="12">
        <f>IFERROR('Verkoopprognose'!C81*Kosten!C7,0)</f>
        <v/>
      </c>
    </row>
    <row r="18">
      <c r="A18" s="5" t="inlineStr">
        <is>
          <t>Inkoop DC snelladers</t>
        </is>
      </c>
      <c r="B18" s="12">
        <f>IFERROR('Verkoopprognose'!C86*Kosten!C8,0)</f>
        <v/>
      </c>
      <c r="C18" s="12">
        <f>IFERROR('Verkoopprognose'!C87*Kosten!C8,0)</f>
        <v/>
      </c>
      <c r="D18" s="12">
        <f>IFERROR('Verkoopprognose'!C88*Kosten!C8,0)</f>
        <v/>
      </c>
      <c r="E18" s="12">
        <f>IFERROR('Verkoopprognose'!C89*Kosten!C8,0)</f>
        <v/>
      </c>
      <c r="F18" s="12">
        <f>IFERROR('Verkoopprognose'!C90*Kosten!C8,0)</f>
        <v/>
      </c>
      <c r="G18" s="12">
        <f>IFERROR('Verkoopprognose'!C91*Kosten!C8,0)</f>
        <v/>
      </c>
      <c r="H18" s="12">
        <f>IFERROR('Verkoopprognose'!C92*Kosten!C8,0)</f>
        <v/>
      </c>
      <c r="I18" s="12">
        <f>IFERROR('Verkoopprognose'!C93*Kosten!C8,0)</f>
        <v/>
      </c>
      <c r="J18" s="12">
        <f>IFERROR('Verkoopprognose'!C94*Kosten!C8,0)</f>
        <v/>
      </c>
      <c r="K18" s="12">
        <f>IFERROR('Verkoopprognose'!C95*Kosten!C8,0)</f>
        <v/>
      </c>
      <c r="L18" s="12">
        <f>IFERROR('Verkoopprognose'!C96*Kosten!C8,0)</f>
        <v/>
      </c>
      <c r="M18" s="12">
        <f>IFERROR('Verkoopprognose'!C97*Kosten!C8,0)</f>
        <v/>
      </c>
      <c r="N18" s="12">
        <f>IFERROR('Verkoopprognose'!C98*Kosten!C8,0)</f>
        <v/>
      </c>
      <c r="O18" s="12">
        <f>IFERROR('Verkoopprognose'!C99*Kosten!C8,0)</f>
        <v/>
      </c>
      <c r="P18" s="12">
        <f>IFERROR('Verkoopprognose'!C100*Kosten!C8,0)</f>
        <v/>
      </c>
      <c r="Q18" s="12">
        <f>IFERROR('Verkoopprognose'!C101*Kosten!C8,0)</f>
        <v/>
      </c>
      <c r="R18" s="12">
        <f>IFERROR('Verkoopprognose'!C102*Kosten!C8,0)</f>
        <v/>
      </c>
      <c r="S18" s="12">
        <f>IFERROR('Verkoopprognose'!C103*Kosten!C8,0)</f>
        <v/>
      </c>
      <c r="T18" s="12">
        <f>IFERROR('Verkoopprognose'!C104*Kosten!C8,0)</f>
        <v/>
      </c>
      <c r="U18" s="12">
        <f>IFERROR('Verkoopprognose'!C105*Kosten!C8,0)</f>
        <v/>
      </c>
      <c r="V18" s="12">
        <f>IFERROR('Verkoopprognose'!C106*Kosten!C8,0)</f>
        <v/>
      </c>
      <c r="W18" s="12">
        <f>IFERROR('Verkoopprognose'!C107*Kosten!C8,0)</f>
        <v/>
      </c>
      <c r="X18" s="12">
        <f>IFERROR('Verkoopprognose'!C108*Kosten!C8,0)</f>
        <v/>
      </c>
      <c r="Y18" s="12">
        <f>IFERROR('Verkoopprognose'!C109*Kosten!C8,0)</f>
        <v/>
      </c>
      <c r="Z18" s="12">
        <f>IFERROR('Verkoopprognose'!C110*Kosten!C8,0)</f>
        <v/>
      </c>
      <c r="AA18" s="12">
        <f>IFERROR('Verkoopprognose'!C111*Kosten!C8,0)</f>
        <v/>
      </c>
      <c r="AB18" s="12">
        <f>IFERROR('Verkoopprognose'!C112*Kosten!C8,0)</f>
        <v/>
      </c>
      <c r="AC18" s="12">
        <f>IFERROR('Verkoopprognose'!C113*Kosten!C8,0)</f>
        <v/>
      </c>
      <c r="AD18" s="12">
        <f>IFERROR('Verkoopprognose'!C114*Kosten!C8,0)</f>
        <v/>
      </c>
      <c r="AE18" s="12">
        <f>IFERROR('Verkoopprognose'!C115*Kosten!C8,0)</f>
        <v/>
      </c>
      <c r="AF18" s="12">
        <f>IFERROR('Verkoopprognose'!C116*Kosten!C8,0)</f>
        <v/>
      </c>
      <c r="AG18" s="12">
        <f>IFERROR('Verkoopprognose'!C117*Kosten!C8,0)</f>
        <v/>
      </c>
      <c r="AH18" s="12">
        <f>IFERROR('Verkoopprognose'!C118*Kosten!C8,0)</f>
        <v/>
      </c>
      <c r="AI18" s="12">
        <f>IFERROR('Verkoopprognose'!C119*Kosten!C8,0)</f>
        <v/>
      </c>
      <c r="AJ18" s="12">
        <f>IFERROR('Verkoopprognose'!C120*Kosten!C8,0)</f>
        <v/>
      </c>
      <c r="AK18" s="12">
        <f>IFERROR('Verkoopprognose'!C121*Kosten!C8,0)</f>
        <v/>
      </c>
    </row>
    <row r="19">
      <c r="A19" s="5" t="inlineStr">
        <is>
          <t>Installatie en logistiek</t>
        </is>
      </c>
      <c r="B19" s="12">
        <f>IFERROR('Verkoopprognose'!C6*Kosten!C12+'Verkoopprognose'!C46*Kosten!C13+'Verkoopprognose'!C86*Kosten!C14+Kosten!C15,0)</f>
        <v/>
      </c>
      <c r="C19" s="12">
        <f>IFERROR('Verkoopprognose'!C7*Kosten!C12+'Verkoopprognose'!C47*Kosten!C13+'Verkoopprognose'!C87*Kosten!C14+Kosten!C15,0)</f>
        <v/>
      </c>
      <c r="D19" s="12">
        <f>IFERROR('Verkoopprognose'!C8*Kosten!C12+'Verkoopprognose'!C48*Kosten!C13+'Verkoopprognose'!C88*Kosten!C14+Kosten!C15,0)</f>
        <v/>
      </c>
      <c r="E19" s="12">
        <f>IFERROR('Verkoopprognose'!C9*Kosten!C12+'Verkoopprognose'!C49*Kosten!C13+'Verkoopprognose'!C89*Kosten!C14+Kosten!C15,0)</f>
        <v/>
      </c>
      <c r="F19" s="12">
        <f>IFERROR('Verkoopprognose'!C10*Kosten!C12+'Verkoopprognose'!C50*Kosten!C13+'Verkoopprognose'!C90*Kosten!C14+Kosten!C15,0)</f>
        <v/>
      </c>
      <c r="G19" s="12">
        <f>IFERROR('Verkoopprognose'!C11*Kosten!C12+'Verkoopprognose'!C51*Kosten!C13+'Verkoopprognose'!C91*Kosten!C14+Kosten!C15,0)</f>
        <v/>
      </c>
      <c r="H19" s="12">
        <f>IFERROR('Verkoopprognose'!C12*Kosten!C12+'Verkoopprognose'!C52*Kosten!C13+'Verkoopprognose'!C92*Kosten!C14+Kosten!C15,0)</f>
        <v/>
      </c>
      <c r="I19" s="12">
        <f>IFERROR('Verkoopprognose'!C13*Kosten!C12+'Verkoopprognose'!C53*Kosten!C13+'Verkoopprognose'!C93*Kosten!C14+Kosten!C15,0)</f>
        <v/>
      </c>
      <c r="J19" s="12">
        <f>IFERROR('Verkoopprognose'!C14*Kosten!C12+'Verkoopprognose'!C54*Kosten!C13+'Verkoopprognose'!C94*Kosten!C14+Kosten!C15,0)</f>
        <v/>
      </c>
      <c r="K19" s="12">
        <f>IFERROR('Verkoopprognose'!C15*Kosten!C12+'Verkoopprognose'!C55*Kosten!C13+'Verkoopprognose'!C95*Kosten!C14+Kosten!C15,0)</f>
        <v/>
      </c>
      <c r="L19" s="12">
        <f>IFERROR('Verkoopprognose'!C16*Kosten!C12+'Verkoopprognose'!C56*Kosten!C13+'Verkoopprognose'!C96*Kosten!C14+Kosten!C15,0)</f>
        <v/>
      </c>
      <c r="M19" s="12">
        <f>IFERROR('Verkoopprognose'!C17*Kosten!C12+'Verkoopprognose'!C57*Kosten!C13+'Verkoopprognose'!C97*Kosten!C14+Kosten!C15,0)</f>
        <v/>
      </c>
      <c r="N19" s="12">
        <f>IFERROR('Verkoopprognose'!C18*Kosten!C12+'Verkoopprognose'!C58*Kosten!C13+'Verkoopprognose'!C98*Kosten!C14+Kosten!C15,0)</f>
        <v/>
      </c>
      <c r="O19" s="12">
        <f>IFERROR('Verkoopprognose'!C19*Kosten!C12+'Verkoopprognose'!C59*Kosten!C13+'Verkoopprognose'!C99*Kosten!C14+Kosten!C15,0)</f>
        <v/>
      </c>
      <c r="P19" s="12">
        <f>IFERROR('Verkoopprognose'!C20*Kosten!C12+'Verkoopprognose'!C60*Kosten!C13+'Verkoopprognose'!C100*Kosten!C14+Kosten!C15,0)</f>
        <v/>
      </c>
      <c r="Q19" s="12">
        <f>IFERROR('Verkoopprognose'!C21*Kosten!C12+'Verkoopprognose'!C61*Kosten!C13+'Verkoopprognose'!C101*Kosten!C14+Kosten!C15,0)</f>
        <v/>
      </c>
      <c r="R19" s="12">
        <f>IFERROR('Verkoopprognose'!C22*Kosten!C12+'Verkoopprognose'!C62*Kosten!C13+'Verkoopprognose'!C102*Kosten!C14+Kosten!C15,0)</f>
        <v/>
      </c>
      <c r="S19" s="12">
        <f>IFERROR('Verkoopprognose'!C23*Kosten!C12+'Verkoopprognose'!C63*Kosten!C13+'Verkoopprognose'!C103*Kosten!C14+Kosten!C15,0)</f>
        <v/>
      </c>
      <c r="T19" s="12">
        <f>IFERROR('Verkoopprognose'!C24*Kosten!C12+'Verkoopprognose'!C64*Kosten!C13+'Verkoopprognose'!C104*Kosten!C14+Kosten!C15,0)</f>
        <v/>
      </c>
      <c r="U19" s="12">
        <f>IFERROR('Verkoopprognose'!C25*Kosten!C12+'Verkoopprognose'!C65*Kosten!C13+'Verkoopprognose'!C105*Kosten!C14+Kosten!C15,0)</f>
        <v/>
      </c>
      <c r="V19" s="12">
        <f>IFERROR('Verkoopprognose'!C26*Kosten!C12+'Verkoopprognose'!C66*Kosten!C13+'Verkoopprognose'!C106*Kosten!C14+Kosten!C15,0)</f>
        <v/>
      </c>
      <c r="W19" s="12">
        <f>IFERROR('Verkoopprognose'!C27*Kosten!C12+'Verkoopprognose'!C67*Kosten!C13+'Verkoopprognose'!C107*Kosten!C14+Kosten!C15,0)</f>
        <v/>
      </c>
      <c r="X19" s="12">
        <f>IFERROR('Verkoopprognose'!C28*Kosten!C12+'Verkoopprognose'!C68*Kosten!C13+'Verkoopprognose'!C108*Kosten!C14+Kosten!C15,0)</f>
        <v/>
      </c>
      <c r="Y19" s="12">
        <f>IFERROR('Verkoopprognose'!C29*Kosten!C12+'Verkoopprognose'!C69*Kosten!C13+'Verkoopprognose'!C109*Kosten!C14+Kosten!C15,0)</f>
        <v/>
      </c>
      <c r="Z19" s="12">
        <f>IFERROR('Verkoopprognose'!C30*Kosten!C12+'Verkoopprognose'!C70*Kosten!C13+'Verkoopprognose'!C110*Kosten!C14+Kosten!C15,0)</f>
        <v/>
      </c>
      <c r="AA19" s="12">
        <f>IFERROR('Verkoopprognose'!C31*Kosten!C12+'Verkoopprognose'!C71*Kosten!C13+'Verkoopprognose'!C111*Kosten!C14+Kosten!C15,0)</f>
        <v/>
      </c>
      <c r="AB19" s="12">
        <f>IFERROR('Verkoopprognose'!C32*Kosten!C12+'Verkoopprognose'!C72*Kosten!C13+'Verkoopprognose'!C112*Kosten!C14+Kosten!C15,0)</f>
        <v/>
      </c>
      <c r="AC19" s="12">
        <f>IFERROR('Verkoopprognose'!C33*Kosten!C12+'Verkoopprognose'!C73*Kosten!C13+'Verkoopprognose'!C113*Kosten!C14+Kosten!C15,0)</f>
        <v/>
      </c>
      <c r="AD19" s="12">
        <f>IFERROR('Verkoopprognose'!C34*Kosten!C12+'Verkoopprognose'!C74*Kosten!C13+'Verkoopprognose'!C114*Kosten!C14+Kosten!C15,0)</f>
        <v/>
      </c>
      <c r="AE19" s="12">
        <f>IFERROR('Verkoopprognose'!C35*Kosten!C12+'Verkoopprognose'!C75*Kosten!C13+'Verkoopprognose'!C115*Kosten!C14+Kosten!C15,0)</f>
        <v/>
      </c>
      <c r="AF19" s="12">
        <f>IFERROR('Verkoopprognose'!C36*Kosten!C12+'Verkoopprognose'!C76*Kosten!C13+'Verkoopprognose'!C116*Kosten!C14+Kosten!C15,0)</f>
        <v/>
      </c>
      <c r="AG19" s="12">
        <f>IFERROR('Verkoopprognose'!C37*Kosten!C12+'Verkoopprognose'!C77*Kosten!C13+'Verkoopprognose'!C117*Kosten!C14+Kosten!C15,0)</f>
        <v/>
      </c>
      <c r="AH19" s="12">
        <f>IFERROR('Verkoopprognose'!C38*Kosten!C12+'Verkoopprognose'!C78*Kosten!C13+'Verkoopprognose'!C118*Kosten!C14+Kosten!C15,0)</f>
        <v/>
      </c>
      <c r="AI19" s="12">
        <f>IFERROR('Verkoopprognose'!C39*Kosten!C12+'Verkoopprognose'!C79*Kosten!C13+'Verkoopprognose'!C119*Kosten!C14+Kosten!C15,0)</f>
        <v/>
      </c>
      <c r="AJ19" s="12">
        <f>IFERROR('Verkoopprognose'!C40*Kosten!C12+'Verkoopprognose'!C80*Kosten!C13+'Verkoopprognose'!C120*Kosten!C14+Kosten!C15,0)</f>
        <v/>
      </c>
      <c r="AK19" s="12">
        <f>IFERROR('Verkoopprognose'!C41*Kosten!C12+'Verkoopprognose'!C81*Kosten!C13+'Verkoopprognose'!C121*Kosten!C14+Kosten!C15,0)</f>
        <v/>
      </c>
    </row>
    <row r="20">
      <c r="A20" s="5" t="inlineStr">
        <is>
          <t>Personeel</t>
        </is>
      </c>
      <c r="B20" s="12">
        <f>IFERROR(Kosten!C19*(1+Kosten!C22)+Kosten!C23,0)</f>
        <v/>
      </c>
      <c r="C20" s="12">
        <f>IFERROR(Kosten!C19*(1+Kosten!C22)+Kosten!C23,0)</f>
        <v/>
      </c>
      <c r="D20" s="12">
        <f>IFERROR(Kosten!C19*(1+Kosten!C22)+Kosten!C23,0)</f>
        <v/>
      </c>
      <c r="E20" s="12">
        <f>IFERROR(Kosten!C19*(1+Kosten!C22)+Kosten!C23,0)</f>
        <v/>
      </c>
      <c r="F20" s="12">
        <f>IFERROR(Kosten!C19*(1+Kosten!C22)+Kosten!C23,0)</f>
        <v/>
      </c>
      <c r="G20" s="12">
        <f>IFERROR(Kosten!C19*(1+Kosten!C22)+Kosten!C23,0)</f>
        <v/>
      </c>
      <c r="H20" s="12">
        <f>IFERROR(Kosten!C19*(1+Kosten!C22)+Kosten!C23,0)</f>
        <v/>
      </c>
      <c r="I20" s="12">
        <f>IFERROR(Kosten!C19*(1+Kosten!C22)+Kosten!C23,0)</f>
        <v/>
      </c>
      <c r="J20" s="12">
        <f>IFERROR(Kosten!C19*(1+Kosten!C22)+Kosten!C23,0)</f>
        <v/>
      </c>
      <c r="K20" s="12">
        <f>IFERROR(Kosten!C19*(1+Kosten!C22)+Kosten!C23,0)</f>
        <v/>
      </c>
      <c r="L20" s="12">
        <f>IFERROR(Kosten!C19*(1+Kosten!C22)+Kosten!C23,0)</f>
        <v/>
      </c>
      <c r="M20" s="12">
        <f>IFERROR(Kosten!C19*(1+Kosten!C22)+Kosten!C23,0)</f>
        <v/>
      </c>
      <c r="N20" s="12">
        <f>IFERROR(Kosten!C20*(1+Kosten!C22)+Kosten!C23,0)</f>
        <v/>
      </c>
      <c r="O20" s="12">
        <f>IFERROR(Kosten!C20*(1+Kosten!C22)+Kosten!C23,0)</f>
        <v/>
      </c>
      <c r="P20" s="12">
        <f>IFERROR(Kosten!C20*(1+Kosten!C22)+Kosten!C23,0)</f>
        <v/>
      </c>
      <c r="Q20" s="12">
        <f>IFERROR(Kosten!C20*(1+Kosten!C22)+Kosten!C23,0)</f>
        <v/>
      </c>
      <c r="R20" s="12">
        <f>IFERROR(Kosten!C20*(1+Kosten!C22)+Kosten!C23,0)</f>
        <v/>
      </c>
      <c r="S20" s="12">
        <f>IFERROR(Kosten!C20*(1+Kosten!C22)+Kosten!C23,0)</f>
        <v/>
      </c>
      <c r="T20" s="12">
        <f>IFERROR(Kosten!C20*(1+Kosten!C22)+Kosten!C23,0)</f>
        <v/>
      </c>
      <c r="U20" s="12">
        <f>IFERROR(Kosten!C20*(1+Kosten!C22)+Kosten!C23,0)</f>
        <v/>
      </c>
      <c r="V20" s="12">
        <f>IFERROR(Kosten!C20*(1+Kosten!C22)+Kosten!C23,0)</f>
        <v/>
      </c>
      <c r="W20" s="12">
        <f>IFERROR(Kosten!C20*(1+Kosten!C22)+Kosten!C23,0)</f>
        <v/>
      </c>
      <c r="X20" s="12">
        <f>IFERROR(Kosten!C20*(1+Kosten!C22)+Kosten!C23,0)</f>
        <v/>
      </c>
      <c r="Y20" s="12">
        <f>IFERROR(Kosten!C20*(1+Kosten!C22)+Kosten!C23,0)</f>
        <v/>
      </c>
      <c r="Z20" s="12">
        <f>IFERROR(Kosten!C21*(1+Kosten!C22)+Kosten!C23,0)</f>
        <v/>
      </c>
      <c r="AA20" s="12">
        <f>IFERROR(Kosten!C21*(1+Kosten!C22)+Kosten!C23,0)</f>
        <v/>
      </c>
      <c r="AB20" s="12">
        <f>IFERROR(Kosten!C21*(1+Kosten!C22)+Kosten!C23,0)</f>
        <v/>
      </c>
      <c r="AC20" s="12">
        <f>IFERROR(Kosten!C21*(1+Kosten!C22)+Kosten!C23,0)</f>
        <v/>
      </c>
      <c r="AD20" s="12">
        <f>IFERROR(Kosten!C21*(1+Kosten!C22)+Kosten!C23,0)</f>
        <v/>
      </c>
      <c r="AE20" s="12">
        <f>IFERROR(Kosten!C21*(1+Kosten!C22)+Kosten!C23,0)</f>
        <v/>
      </c>
      <c r="AF20" s="12">
        <f>IFERROR(Kosten!C21*(1+Kosten!C22)+Kosten!C23,0)</f>
        <v/>
      </c>
      <c r="AG20" s="12">
        <f>IFERROR(Kosten!C21*(1+Kosten!C22)+Kosten!C23,0)</f>
        <v/>
      </c>
      <c r="AH20" s="12">
        <f>IFERROR(Kosten!C21*(1+Kosten!C22)+Kosten!C23,0)</f>
        <v/>
      </c>
      <c r="AI20" s="12">
        <f>IFERROR(Kosten!C21*(1+Kosten!C22)+Kosten!C23,0)</f>
        <v/>
      </c>
      <c r="AJ20" s="12">
        <f>IFERROR(Kosten!C21*(1+Kosten!C22)+Kosten!C23,0)</f>
        <v/>
      </c>
      <c r="AK20" s="12">
        <f>IFERROR(Kosten!C21*(1+Kosten!C22)+Kosten!C23,0)</f>
        <v/>
      </c>
    </row>
    <row r="21">
      <c r="A21" s="5" t="inlineStr">
        <is>
          <t>Marketing en sales</t>
        </is>
      </c>
      <c r="B21" s="12">
        <f>IFERROR(Kosten!C27+Kosten!C28+Kosten!C29+Kosten!C31+Kosten!C30*B13,0)</f>
        <v/>
      </c>
      <c r="C21" s="12">
        <f>IFERROR(Kosten!C27+Kosten!C28+Kosten!C29+Kosten!C31+Kosten!C30*C13,0)</f>
        <v/>
      </c>
      <c r="D21" s="12">
        <f>IFERROR(Kosten!C27+Kosten!C28+Kosten!C29+Kosten!C31+Kosten!C30*D13,0)</f>
        <v/>
      </c>
      <c r="E21" s="12">
        <f>IFERROR(Kosten!C27+Kosten!C28+Kosten!C29+Kosten!C31+Kosten!C30*E13,0)</f>
        <v/>
      </c>
      <c r="F21" s="12">
        <f>IFERROR(Kosten!C27+Kosten!C28+Kosten!C29+Kosten!C31+Kosten!C30*F13,0)</f>
        <v/>
      </c>
      <c r="G21" s="12">
        <f>IFERROR(Kosten!C27+Kosten!C28+Kosten!C29+Kosten!C31+Kosten!C30*G13,0)</f>
        <v/>
      </c>
      <c r="H21" s="12">
        <f>IFERROR(Kosten!C27+Kosten!C28+Kosten!C29+Kosten!C31+Kosten!C30*H13,0)</f>
        <v/>
      </c>
      <c r="I21" s="12">
        <f>IFERROR(Kosten!C27+Kosten!C28+Kosten!C29+Kosten!C31+Kosten!C30*I13,0)</f>
        <v/>
      </c>
      <c r="J21" s="12">
        <f>IFERROR(Kosten!C27+Kosten!C28+Kosten!C29+Kosten!C31+Kosten!C30*J13,0)</f>
        <v/>
      </c>
      <c r="K21" s="12">
        <f>IFERROR(Kosten!C27+Kosten!C28+Kosten!C29+Kosten!C31+Kosten!C30*K13,0)</f>
        <v/>
      </c>
      <c r="L21" s="12">
        <f>IFERROR(Kosten!C27+Kosten!C28+Kosten!C29+Kosten!C31+Kosten!C30*L13,0)</f>
        <v/>
      </c>
      <c r="M21" s="12">
        <f>IFERROR(Kosten!C27+Kosten!C28+Kosten!C29+Kosten!C31+Kosten!C30*M13,0)</f>
        <v/>
      </c>
      <c r="N21" s="12">
        <f>IFERROR(Kosten!C27+Kosten!C28+Kosten!C29+Kosten!C31+Kosten!C30*N13,0)</f>
        <v/>
      </c>
      <c r="O21" s="12">
        <f>IFERROR(Kosten!C27+Kosten!C28+Kosten!C29+Kosten!C31+Kosten!C30*O13,0)</f>
        <v/>
      </c>
      <c r="P21" s="12">
        <f>IFERROR(Kosten!C27+Kosten!C28+Kosten!C29+Kosten!C31+Kosten!C30*P13,0)</f>
        <v/>
      </c>
      <c r="Q21" s="12">
        <f>IFERROR(Kosten!C27+Kosten!C28+Kosten!C29+Kosten!C31+Kosten!C30*Q13,0)</f>
        <v/>
      </c>
      <c r="R21" s="12">
        <f>IFERROR(Kosten!C27+Kosten!C28+Kosten!C29+Kosten!C31+Kosten!C30*R13,0)</f>
        <v/>
      </c>
      <c r="S21" s="12">
        <f>IFERROR(Kosten!C27+Kosten!C28+Kosten!C29+Kosten!C31+Kosten!C30*S13,0)</f>
        <v/>
      </c>
      <c r="T21" s="12">
        <f>IFERROR(Kosten!C27+Kosten!C28+Kosten!C29+Kosten!C31+Kosten!C30*T13,0)</f>
        <v/>
      </c>
      <c r="U21" s="12">
        <f>IFERROR(Kosten!C27+Kosten!C28+Kosten!C29+Kosten!C31+Kosten!C30*U13,0)</f>
        <v/>
      </c>
      <c r="V21" s="12">
        <f>IFERROR(Kosten!C27+Kosten!C28+Kosten!C29+Kosten!C31+Kosten!C30*V13,0)</f>
        <v/>
      </c>
      <c r="W21" s="12">
        <f>IFERROR(Kosten!C27+Kosten!C28+Kosten!C29+Kosten!C31+Kosten!C30*W13,0)</f>
        <v/>
      </c>
      <c r="X21" s="12">
        <f>IFERROR(Kosten!C27+Kosten!C28+Kosten!C29+Kosten!C31+Kosten!C30*X13,0)</f>
        <v/>
      </c>
      <c r="Y21" s="12">
        <f>IFERROR(Kosten!C27+Kosten!C28+Kosten!C29+Kosten!C31+Kosten!C30*Y13,0)</f>
        <v/>
      </c>
      <c r="Z21" s="12">
        <f>IFERROR(Kosten!C27+Kosten!C28+Kosten!C29+Kosten!C31+Kosten!C30*Z13,0)</f>
        <v/>
      </c>
      <c r="AA21" s="12">
        <f>IFERROR(Kosten!C27+Kosten!C28+Kosten!C29+Kosten!C31+Kosten!C30*AA13,0)</f>
        <v/>
      </c>
      <c r="AB21" s="12">
        <f>IFERROR(Kosten!C27+Kosten!C28+Kosten!C29+Kosten!C31+Kosten!C30*AB13,0)</f>
        <v/>
      </c>
      <c r="AC21" s="12">
        <f>IFERROR(Kosten!C27+Kosten!C28+Kosten!C29+Kosten!C31+Kosten!C30*AC13,0)</f>
        <v/>
      </c>
      <c r="AD21" s="12">
        <f>IFERROR(Kosten!C27+Kosten!C28+Kosten!C29+Kosten!C31+Kosten!C30*AD13,0)</f>
        <v/>
      </c>
      <c r="AE21" s="12">
        <f>IFERROR(Kosten!C27+Kosten!C28+Kosten!C29+Kosten!C31+Kosten!C30*AE13,0)</f>
        <v/>
      </c>
      <c r="AF21" s="12">
        <f>IFERROR(Kosten!C27+Kosten!C28+Kosten!C29+Kosten!C31+Kosten!C30*AF13,0)</f>
        <v/>
      </c>
      <c r="AG21" s="12">
        <f>IFERROR(Kosten!C27+Kosten!C28+Kosten!C29+Kosten!C31+Kosten!C30*AG13,0)</f>
        <v/>
      </c>
      <c r="AH21" s="12">
        <f>IFERROR(Kosten!C27+Kosten!C28+Kosten!C29+Kosten!C31+Kosten!C30*AH13,0)</f>
        <v/>
      </c>
      <c r="AI21" s="12">
        <f>IFERROR(Kosten!C27+Kosten!C28+Kosten!C29+Kosten!C31+Kosten!C30*AI13,0)</f>
        <v/>
      </c>
      <c r="AJ21" s="12">
        <f>IFERROR(Kosten!C27+Kosten!C28+Kosten!C29+Kosten!C31+Kosten!C30*AJ13,0)</f>
        <v/>
      </c>
      <c r="AK21" s="12">
        <f>IFERROR(Kosten!C27+Kosten!C28+Kosten!C29+Kosten!C31+Kosten!C30*AK13,0)</f>
        <v/>
      </c>
    </row>
    <row r="22">
      <c r="A22" s="5" t="inlineStr">
        <is>
          <t>Kantoor en operations</t>
        </is>
      </c>
      <c r="B22" s="12">
        <f>IFERROR(Kosten!C35+Kosten!C36+Kosten!C37+Kosten!C38,0)</f>
        <v/>
      </c>
      <c r="C22" s="12">
        <f>IFERROR(Kosten!C35+Kosten!C36+Kosten!C37+Kosten!C38,0)</f>
        <v/>
      </c>
      <c r="D22" s="12">
        <f>IFERROR(Kosten!C35+Kosten!C36+Kosten!C37+Kosten!C38,0)</f>
        <v/>
      </c>
      <c r="E22" s="12">
        <f>IFERROR(Kosten!C35+Kosten!C36+Kosten!C37+Kosten!C38,0)</f>
        <v/>
      </c>
      <c r="F22" s="12">
        <f>IFERROR(Kosten!C35+Kosten!C36+Kosten!C37+Kosten!C38,0)</f>
        <v/>
      </c>
      <c r="G22" s="12">
        <f>IFERROR(Kosten!C35+Kosten!C36+Kosten!C37+Kosten!C38,0)</f>
        <v/>
      </c>
      <c r="H22" s="12">
        <f>IFERROR(Kosten!C35+Kosten!C36+Kosten!C37+Kosten!C38,0)</f>
        <v/>
      </c>
      <c r="I22" s="12">
        <f>IFERROR(Kosten!C35+Kosten!C36+Kosten!C37+Kosten!C38,0)</f>
        <v/>
      </c>
      <c r="J22" s="12">
        <f>IFERROR(Kosten!C35+Kosten!C36+Kosten!C37+Kosten!C38,0)</f>
        <v/>
      </c>
      <c r="K22" s="12">
        <f>IFERROR(Kosten!C35+Kosten!C36+Kosten!C37+Kosten!C38,0)</f>
        <v/>
      </c>
      <c r="L22" s="12">
        <f>IFERROR(Kosten!C35+Kosten!C36+Kosten!C37+Kosten!C38,0)</f>
        <v/>
      </c>
      <c r="M22" s="12">
        <f>IFERROR(Kosten!C35+Kosten!C36+Kosten!C37+Kosten!C38,0)</f>
        <v/>
      </c>
      <c r="N22" s="12">
        <f>IFERROR(Kosten!C35+Kosten!C36+Kosten!C37+Kosten!C38,0)</f>
        <v/>
      </c>
      <c r="O22" s="12">
        <f>IFERROR(Kosten!C35+Kosten!C36+Kosten!C37+Kosten!C38,0)</f>
        <v/>
      </c>
      <c r="P22" s="12">
        <f>IFERROR(Kosten!C35+Kosten!C36+Kosten!C37+Kosten!C38,0)</f>
        <v/>
      </c>
      <c r="Q22" s="12">
        <f>IFERROR(Kosten!C35+Kosten!C36+Kosten!C37+Kosten!C38,0)</f>
        <v/>
      </c>
      <c r="R22" s="12">
        <f>IFERROR(Kosten!C35+Kosten!C36+Kosten!C37+Kosten!C38,0)</f>
        <v/>
      </c>
      <c r="S22" s="12">
        <f>IFERROR(Kosten!C35+Kosten!C36+Kosten!C37+Kosten!C38,0)</f>
        <v/>
      </c>
      <c r="T22" s="12">
        <f>IFERROR(Kosten!C35+Kosten!C36+Kosten!C37+Kosten!C38,0)</f>
        <v/>
      </c>
      <c r="U22" s="12">
        <f>IFERROR(Kosten!C35+Kosten!C36+Kosten!C37+Kosten!C38,0)</f>
        <v/>
      </c>
      <c r="V22" s="12">
        <f>IFERROR(Kosten!C35+Kosten!C36+Kosten!C37+Kosten!C38,0)</f>
        <v/>
      </c>
      <c r="W22" s="12">
        <f>IFERROR(Kosten!C35+Kosten!C36+Kosten!C37+Kosten!C38,0)</f>
        <v/>
      </c>
      <c r="X22" s="12">
        <f>IFERROR(Kosten!C35+Kosten!C36+Kosten!C37+Kosten!C38,0)</f>
        <v/>
      </c>
      <c r="Y22" s="12">
        <f>IFERROR(Kosten!C35+Kosten!C36+Kosten!C37+Kosten!C38,0)</f>
        <v/>
      </c>
      <c r="Z22" s="12">
        <f>IFERROR(Kosten!C35+Kosten!C36+Kosten!C37+Kosten!C38,0)</f>
        <v/>
      </c>
      <c r="AA22" s="12">
        <f>IFERROR(Kosten!C35+Kosten!C36+Kosten!C37+Kosten!C38,0)</f>
        <v/>
      </c>
      <c r="AB22" s="12">
        <f>IFERROR(Kosten!C35+Kosten!C36+Kosten!C37+Kosten!C38,0)</f>
        <v/>
      </c>
      <c r="AC22" s="12">
        <f>IFERROR(Kosten!C35+Kosten!C36+Kosten!C37+Kosten!C38,0)</f>
        <v/>
      </c>
      <c r="AD22" s="12">
        <f>IFERROR(Kosten!C35+Kosten!C36+Kosten!C37+Kosten!C38,0)</f>
        <v/>
      </c>
      <c r="AE22" s="12">
        <f>IFERROR(Kosten!C35+Kosten!C36+Kosten!C37+Kosten!C38,0)</f>
        <v/>
      </c>
      <c r="AF22" s="12">
        <f>IFERROR(Kosten!C35+Kosten!C36+Kosten!C37+Kosten!C38,0)</f>
        <v/>
      </c>
      <c r="AG22" s="12">
        <f>IFERROR(Kosten!C35+Kosten!C36+Kosten!C37+Kosten!C38,0)</f>
        <v/>
      </c>
      <c r="AH22" s="12">
        <f>IFERROR(Kosten!C35+Kosten!C36+Kosten!C37+Kosten!C38,0)</f>
        <v/>
      </c>
      <c r="AI22" s="12">
        <f>IFERROR(Kosten!C35+Kosten!C36+Kosten!C37+Kosten!C38,0)</f>
        <v/>
      </c>
      <c r="AJ22" s="12">
        <f>IFERROR(Kosten!C35+Kosten!C36+Kosten!C37+Kosten!C38,0)</f>
        <v/>
      </c>
      <c r="AK22" s="12">
        <f>IFERROR(Kosten!C35+Kosten!C36+Kosten!C37+Kosten!C38,0)</f>
        <v/>
      </c>
    </row>
    <row r="23">
      <c r="A23" s="5" t="inlineStr">
        <is>
          <t>Software, tools en IT</t>
        </is>
      </c>
      <c r="B23" s="12">
        <f>IFERROR(Kosten!C42+Kosten!C43+Kosten!C44+Kosten!C45,0)</f>
        <v/>
      </c>
      <c r="C23" s="12">
        <f>IFERROR(Kosten!C42+Kosten!C43+Kosten!C44+Kosten!C45,0)</f>
        <v/>
      </c>
      <c r="D23" s="12">
        <f>IFERROR(Kosten!C42+Kosten!C43+Kosten!C44+Kosten!C45,0)</f>
        <v/>
      </c>
      <c r="E23" s="12">
        <f>IFERROR(Kosten!C42+Kosten!C43+Kosten!C44+Kosten!C45,0)</f>
        <v/>
      </c>
      <c r="F23" s="12">
        <f>IFERROR(Kosten!C42+Kosten!C43+Kosten!C44+Kosten!C45,0)</f>
        <v/>
      </c>
      <c r="G23" s="12">
        <f>IFERROR(Kosten!C42+Kosten!C43+Kosten!C44+Kosten!C45,0)</f>
        <v/>
      </c>
      <c r="H23" s="12">
        <f>IFERROR(Kosten!C42+Kosten!C43+Kosten!C44+Kosten!C45,0)</f>
        <v/>
      </c>
      <c r="I23" s="12">
        <f>IFERROR(Kosten!C42+Kosten!C43+Kosten!C44+Kosten!C45,0)</f>
        <v/>
      </c>
      <c r="J23" s="12">
        <f>IFERROR(Kosten!C42+Kosten!C43+Kosten!C44+Kosten!C45,0)</f>
        <v/>
      </c>
      <c r="K23" s="12">
        <f>IFERROR(Kosten!C42+Kosten!C43+Kosten!C44+Kosten!C45,0)</f>
        <v/>
      </c>
      <c r="L23" s="12">
        <f>IFERROR(Kosten!C42+Kosten!C43+Kosten!C44+Kosten!C45,0)</f>
        <v/>
      </c>
      <c r="M23" s="12">
        <f>IFERROR(Kosten!C42+Kosten!C43+Kosten!C44+Kosten!C45,0)</f>
        <v/>
      </c>
      <c r="N23" s="12">
        <f>IFERROR(Kosten!C42+Kosten!C43+Kosten!C44+Kosten!C45,0)</f>
        <v/>
      </c>
      <c r="O23" s="12">
        <f>IFERROR(Kosten!C42+Kosten!C43+Kosten!C44+Kosten!C45,0)</f>
        <v/>
      </c>
      <c r="P23" s="12">
        <f>IFERROR(Kosten!C42+Kosten!C43+Kosten!C44+Kosten!C45,0)</f>
        <v/>
      </c>
      <c r="Q23" s="12">
        <f>IFERROR(Kosten!C42+Kosten!C43+Kosten!C44+Kosten!C45,0)</f>
        <v/>
      </c>
      <c r="R23" s="12">
        <f>IFERROR(Kosten!C42+Kosten!C43+Kosten!C44+Kosten!C45,0)</f>
        <v/>
      </c>
      <c r="S23" s="12">
        <f>IFERROR(Kosten!C42+Kosten!C43+Kosten!C44+Kosten!C45,0)</f>
        <v/>
      </c>
      <c r="T23" s="12">
        <f>IFERROR(Kosten!C42+Kosten!C43+Kosten!C44+Kosten!C45,0)</f>
        <v/>
      </c>
      <c r="U23" s="12">
        <f>IFERROR(Kosten!C42+Kosten!C43+Kosten!C44+Kosten!C45,0)</f>
        <v/>
      </c>
      <c r="V23" s="12">
        <f>IFERROR(Kosten!C42+Kosten!C43+Kosten!C44+Kosten!C45,0)</f>
        <v/>
      </c>
      <c r="W23" s="12">
        <f>IFERROR(Kosten!C42+Kosten!C43+Kosten!C44+Kosten!C45,0)</f>
        <v/>
      </c>
      <c r="X23" s="12">
        <f>IFERROR(Kosten!C42+Kosten!C43+Kosten!C44+Kosten!C45,0)</f>
        <v/>
      </c>
      <c r="Y23" s="12">
        <f>IFERROR(Kosten!C42+Kosten!C43+Kosten!C44+Kosten!C45,0)</f>
        <v/>
      </c>
      <c r="Z23" s="12">
        <f>IFERROR(Kosten!C42+Kosten!C43+Kosten!C44+Kosten!C45,0)</f>
        <v/>
      </c>
      <c r="AA23" s="12">
        <f>IFERROR(Kosten!C42+Kosten!C43+Kosten!C44+Kosten!C45,0)</f>
        <v/>
      </c>
      <c r="AB23" s="12">
        <f>IFERROR(Kosten!C42+Kosten!C43+Kosten!C44+Kosten!C45,0)</f>
        <v/>
      </c>
      <c r="AC23" s="12">
        <f>IFERROR(Kosten!C42+Kosten!C43+Kosten!C44+Kosten!C45,0)</f>
        <v/>
      </c>
      <c r="AD23" s="12">
        <f>IFERROR(Kosten!C42+Kosten!C43+Kosten!C44+Kosten!C45,0)</f>
        <v/>
      </c>
      <c r="AE23" s="12">
        <f>IFERROR(Kosten!C42+Kosten!C43+Kosten!C44+Kosten!C45,0)</f>
        <v/>
      </c>
      <c r="AF23" s="12">
        <f>IFERROR(Kosten!C42+Kosten!C43+Kosten!C44+Kosten!C45,0)</f>
        <v/>
      </c>
      <c r="AG23" s="12">
        <f>IFERROR(Kosten!C42+Kosten!C43+Kosten!C44+Kosten!C45,0)</f>
        <v/>
      </c>
      <c r="AH23" s="12">
        <f>IFERROR(Kosten!C42+Kosten!C43+Kosten!C44+Kosten!C45,0)</f>
        <v/>
      </c>
      <c r="AI23" s="12">
        <f>IFERROR(Kosten!C42+Kosten!C43+Kosten!C44+Kosten!C45,0)</f>
        <v/>
      </c>
      <c r="AJ23" s="12">
        <f>IFERROR(Kosten!C42+Kosten!C43+Kosten!C44+Kosten!C45,0)</f>
        <v/>
      </c>
      <c r="AK23" s="12">
        <f>IFERROR(Kosten!C42+Kosten!C43+Kosten!C44+Kosten!C45,0)</f>
        <v/>
      </c>
    </row>
    <row r="24">
      <c r="A24" s="5" t="inlineStr">
        <is>
          <t>Verzekeringen en juridisch</t>
        </is>
      </c>
      <c r="B24" s="12">
        <f>IFERROR(Kosten!C49+Kosten!C50+Kosten!C51+Kosten!C52,0)</f>
        <v/>
      </c>
      <c r="C24" s="12">
        <f>IFERROR(Kosten!C49+Kosten!C50+Kosten!C51+Kosten!C52,0)</f>
        <v/>
      </c>
      <c r="D24" s="12">
        <f>IFERROR(Kosten!C49+Kosten!C50+Kosten!C51+Kosten!C52,0)</f>
        <v/>
      </c>
      <c r="E24" s="12">
        <f>IFERROR(Kosten!C49+Kosten!C50+Kosten!C51+Kosten!C52,0)</f>
        <v/>
      </c>
      <c r="F24" s="12">
        <f>IFERROR(Kosten!C49+Kosten!C50+Kosten!C51+Kosten!C52,0)</f>
        <v/>
      </c>
      <c r="G24" s="12">
        <f>IFERROR(Kosten!C49+Kosten!C50+Kosten!C51+Kosten!C52,0)</f>
        <v/>
      </c>
      <c r="H24" s="12">
        <f>IFERROR(Kosten!C49+Kosten!C50+Kosten!C51+Kosten!C52,0)</f>
        <v/>
      </c>
      <c r="I24" s="12">
        <f>IFERROR(Kosten!C49+Kosten!C50+Kosten!C51+Kosten!C52,0)</f>
        <v/>
      </c>
      <c r="J24" s="12">
        <f>IFERROR(Kosten!C49+Kosten!C50+Kosten!C51+Kosten!C52,0)</f>
        <v/>
      </c>
      <c r="K24" s="12">
        <f>IFERROR(Kosten!C49+Kosten!C50+Kosten!C51+Kosten!C52,0)</f>
        <v/>
      </c>
      <c r="L24" s="12">
        <f>IFERROR(Kosten!C49+Kosten!C50+Kosten!C51+Kosten!C52,0)</f>
        <v/>
      </c>
      <c r="M24" s="12">
        <f>IFERROR(Kosten!C49+Kosten!C50+Kosten!C51+Kosten!C52,0)</f>
        <v/>
      </c>
      <c r="N24" s="12">
        <f>IFERROR(Kosten!C49+Kosten!C50+Kosten!C51+Kosten!C52,0)</f>
        <v/>
      </c>
      <c r="O24" s="12">
        <f>IFERROR(Kosten!C49+Kosten!C50+Kosten!C51+Kosten!C52,0)</f>
        <v/>
      </c>
      <c r="P24" s="12">
        <f>IFERROR(Kosten!C49+Kosten!C50+Kosten!C51+Kosten!C52,0)</f>
        <v/>
      </c>
      <c r="Q24" s="12">
        <f>IFERROR(Kosten!C49+Kosten!C50+Kosten!C51+Kosten!C52,0)</f>
        <v/>
      </c>
      <c r="R24" s="12">
        <f>IFERROR(Kosten!C49+Kosten!C50+Kosten!C51+Kosten!C52,0)</f>
        <v/>
      </c>
      <c r="S24" s="12">
        <f>IFERROR(Kosten!C49+Kosten!C50+Kosten!C51+Kosten!C52,0)</f>
        <v/>
      </c>
      <c r="T24" s="12">
        <f>IFERROR(Kosten!C49+Kosten!C50+Kosten!C51+Kosten!C52,0)</f>
        <v/>
      </c>
      <c r="U24" s="12">
        <f>IFERROR(Kosten!C49+Kosten!C50+Kosten!C51+Kosten!C52,0)</f>
        <v/>
      </c>
      <c r="V24" s="12">
        <f>IFERROR(Kosten!C49+Kosten!C50+Kosten!C51+Kosten!C52,0)</f>
        <v/>
      </c>
      <c r="W24" s="12">
        <f>IFERROR(Kosten!C49+Kosten!C50+Kosten!C51+Kosten!C52,0)</f>
        <v/>
      </c>
      <c r="X24" s="12">
        <f>IFERROR(Kosten!C49+Kosten!C50+Kosten!C51+Kosten!C52,0)</f>
        <v/>
      </c>
      <c r="Y24" s="12">
        <f>IFERROR(Kosten!C49+Kosten!C50+Kosten!C51+Kosten!C52,0)</f>
        <v/>
      </c>
      <c r="Z24" s="12">
        <f>IFERROR(Kosten!C49+Kosten!C50+Kosten!C51+Kosten!C52,0)</f>
        <v/>
      </c>
      <c r="AA24" s="12">
        <f>IFERROR(Kosten!C49+Kosten!C50+Kosten!C51+Kosten!C52,0)</f>
        <v/>
      </c>
      <c r="AB24" s="12">
        <f>IFERROR(Kosten!C49+Kosten!C50+Kosten!C51+Kosten!C52,0)</f>
        <v/>
      </c>
      <c r="AC24" s="12">
        <f>IFERROR(Kosten!C49+Kosten!C50+Kosten!C51+Kosten!C52,0)</f>
        <v/>
      </c>
      <c r="AD24" s="12">
        <f>IFERROR(Kosten!C49+Kosten!C50+Kosten!C51+Kosten!C52,0)</f>
        <v/>
      </c>
      <c r="AE24" s="12">
        <f>IFERROR(Kosten!C49+Kosten!C50+Kosten!C51+Kosten!C52,0)</f>
        <v/>
      </c>
      <c r="AF24" s="12">
        <f>IFERROR(Kosten!C49+Kosten!C50+Kosten!C51+Kosten!C52,0)</f>
        <v/>
      </c>
      <c r="AG24" s="12">
        <f>IFERROR(Kosten!C49+Kosten!C50+Kosten!C51+Kosten!C52,0)</f>
        <v/>
      </c>
      <c r="AH24" s="12">
        <f>IFERROR(Kosten!C49+Kosten!C50+Kosten!C51+Kosten!C52,0)</f>
        <v/>
      </c>
      <c r="AI24" s="12">
        <f>IFERROR(Kosten!C49+Kosten!C50+Kosten!C51+Kosten!C52,0)</f>
        <v/>
      </c>
      <c r="AJ24" s="12">
        <f>IFERROR(Kosten!C49+Kosten!C50+Kosten!C51+Kosten!C52,0)</f>
        <v/>
      </c>
      <c r="AK24" s="12">
        <f>IFERROR(Kosten!C49+Kosten!C50+Kosten!C51+Kosten!C52,0)</f>
        <v/>
      </c>
    </row>
    <row r="25">
      <c r="A25" s="5" t="inlineStr">
        <is>
          <t>Overige kosten</t>
        </is>
      </c>
      <c r="B25" s="12">
        <f>IFERROR(Kosten!C62+Kosten!C63+Kosten!C64+Kosten!C56+(Kosten!C57+Kosten!C58)*(B5+B6+B7)+Kosten!C65*SUM(B16:B24),0)</f>
        <v/>
      </c>
      <c r="C25" s="12">
        <f>IFERROR(Kosten!C62+Kosten!C63+Kosten!C64+Kosten!C56+(Kosten!C57+Kosten!C58)*(C5+C6+C7)+Kosten!C65*SUM(C16:C24),0)</f>
        <v/>
      </c>
      <c r="D25" s="12">
        <f>IFERROR(Kosten!C62+Kosten!C63+Kosten!C64+Kosten!C56+(Kosten!C57+Kosten!C58)*(D5+D6+D7)+Kosten!C65*SUM(D16:D24),0)</f>
        <v/>
      </c>
      <c r="E25" s="12">
        <f>IFERROR(Kosten!C62+Kosten!C63+Kosten!C64+Kosten!C56+(Kosten!C57+Kosten!C58)*(E5+E6+E7)+Kosten!C65*SUM(E16:E24),0)</f>
        <v/>
      </c>
      <c r="F25" s="12">
        <f>IFERROR(Kosten!C62+Kosten!C63+Kosten!C64+Kosten!C56+(Kosten!C57+Kosten!C58)*(F5+F6+F7)+Kosten!C65*SUM(F16:F24),0)</f>
        <v/>
      </c>
      <c r="G25" s="12">
        <f>IFERROR(Kosten!C62+Kosten!C63+Kosten!C64+Kosten!C56+(Kosten!C57+Kosten!C58)*(G5+G6+G7)+Kosten!C65*SUM(G16:G24),0)</f>
        <v/>
      </c>
      <c r="H25" s="12">
        <f>IFERROR(Kosten!C62+Kosten!C63+Kosten!C64+Kosten!C56+(Kosten!C57+Kosten!C58)*(H5+H6+H7)+Kosten!C65*SUM(H16:H24),0)</f>
        <v/>
      </c>
      <c r="I25" s="12">
        <f>IFERROR(Kosten!C62+Kosten!C63+Kosten!C64+Kosten!C56+(Kosten!C57+Kosten!C58)*(I5+I6+I7)+Kosten!C65*SUM(I16:I24),0)</f>
        <v/>
      </c>
      <c r="J25" s="12">
        <f>IFERROR(Kosten!C62+Kosten!C63+Kosten!C64+Kosten!C56+(Kosten!C57+Kosten!C58)*(J5+J6+J7)+Kosten!C65*SUM(J16:J24),0)</f>
        <v/>
      </c>
      <c r="K25" s="12">
        <f>IFERROR(Kosten!C62+Kosten!C63+Kosten!C64+Kosten!C56+(Kosten!C57+Kosten!C58)*(K5+K6+K7)+Kosten!C65*SUM(K16:K24),0)</f>
        <v/>
      </c>
      <c r="L25" s="12">
        <f>IFERROR(Kosten!C62+Kosten!C63+Kosten!C64+Kosten!C56+(Kosten!C57+Kosten!C58)*(L5+L6+L7)+Kosten!C65*SUM(L16:L24),0)</f>
        <v/>
      </c>
      <c r="M25" s="12">
        <f>IFERROR(Kosten!C62+Kosten!C63+Kosten!C64+Kosten!C56+(Kosten!C57+Kosten!C58)*(M5+M6+M7)+Kosten!C65*SUM(M16:M24),0)</f>
        <v/>
      </c>
      <c r="N25" s="12">
        <f>IFERROR(Kosten!C62+Kosten!C63+Kosten!C64+Kosten!C56+(Kosten!C57+Kosten!C58)*(N5+N6+N7)+Kosten!C65*SUM(N16:N24),0)</f>
        <v/>
      </c>
      <c r="O25" s="12">
        <f>IFERROR(Kosten!C62+Kosten!C63+Kosten!C64+Kosten!C56+(Kosten!C57+Kosten!C58)*(O5+O6+O7)+Kosten!C65*SUM(O16:O24),0)</f>
        <v/>
      </c>
      <c r="P25" s="12">
        <f>IFERROR(Kosten!C62+Kosten!C63+Kosten!C64+Kosten!C56+(Kosten!C57+Kosten!C58)*(P5+P6+P7)+Kosten!C65*SUM(P16:P24),0)</f>
        <v/>
      </c>
      <c r="Q25" s="12">
        <f>IFERROR(Kosten!C62+Kosten!C63+Kosten!C64+Kosten!C56+(Kosten!C57+Kosten!C58)*(Q5+Q6+Q7)+Kosten!C65*SUM(Q16:Q24),0)</f>
        <v/>
      </c>
      <c r="R25" s="12">
        <f>IFERROR(Kosten!C62+Kosten!C63+Kosten!C64+Kosten!C56+(Kosten!C57+Kosten!C58)*(R5+R6+R7)+Kosten!C65*SUM(R16:R24),0)</f>
        <v/>
      </c>
      <c r="S25" s="12">
        <f>IFERROR(Kosten!C62+Kosten!C63+Kosten!C64+Kosten!C56+(Kosten!C57+Kosten!C58)*(S5+S6+S7)+Kosten!C65*SUM(S16:S24),0)</f>
        <v/>
      </c>
      <c r="T25" s="12">
        <f>IFERROR(Kosten!C62+Kosten!C63+Kosten!C64+Kosten!C56+(Kosten!C57+Kosten!C58)*(T5+T6+T7)+Kosten!C65*SUM(T16:T24),0)</f>
        <v/>
      </c>
      <c r="U25" s="12">
        <f>IFERROR(Kosten!C62+Kosten!C63+Kosten!C64+Kosten!C56+(Kosten!C57+Kosten!C58)*(U5+U6+U7)+Kosten!C65*SUM(U16:U24),0)</f>
        <v/>
      </c>
      <c r="V25" s="12">
        <f>IFERROR(Kosten!C62+Kosten!C63+Kosten!C64+Kosten!C56+(Kosten!C57+Kosten!C58)*(V5+V6+V7)+Kosten!C65*SUM(V16:V24),0)</f>
        <v/>
      </c>
      <c r="W25" s="12">
        <f>IFERROR(Kosten!C62+Kosten!C63+Kosten!C64+Kosten!C56+(Kosten!C57+Kosten!C58)*(W5+W6+W7)+Kosten!C65*SUM(W16:W24),0)</f>
        <v/>
      </c>
      <c r="X25" s="12">
        <f>IFERROR(Kosten!C62+Kosten!C63+Kosten!C64+Kosten!C56+(Kosten!C57+Kosten!C58)*(X5+X6+X7)+Kosten!C65*SUM(X16:X24),0)</f>
        <v/>
      </c>
      <c r="Y25" s="12">
        <f>IFERROR(Kosten!C62+Kosten!C63+Kosten!C64+Kosten!C56+(Kosten!C57+Kosten!C58)*(Y5+Y6+Y7)+Kosten!C65*SUM(Y16:Y24),0)</f>
        <v/>
      </c>
      <c r="Z25" s="12">
        <f>IFERROR(Kosten!C62+Kosten!C63+Kosten!C64+Kosten!C56+(Kosten!C57+Kosten!C58)*(Z5+Z6+Z7)+Kosten!C65*SUM(Z16:Z24),0)</f>
        <v/>
      </c>
      <c r="AA25" s="12">
        <f>IFERROR(Kosten!C62+Kosten!C63+Kosten!C64+Kosten!C56+(Kosten!C57+Kosten!C58)*(AA5+AA6+AA7)+Kosten!C65*SUM(AA16:AA24),0)</f>
        <v/>
      </c>
      <c r="AB25" s="12">
        <f>IFERROR(Kosten!C62+Kosten!C63+Kosten!C64+Kosten!C56+(Kosten!C57+Kosten!C58)*(AB5+AB6+AB7)+Kosten!C65*SUM(AB16:AB24),0)</f>
        <v/>
      </c>
      <c r="AC25" s="12">
        <f>IFERROR(Kosten!C62+Kosten!C63+Kosten!C64+Kosten!C56+(Kosten!C57+Kosten!C58)*(AC5+AC6+AC7)+Kosten!C65*SUM(AC16:AC24),0)</f>
        <v/>
      </c>
      <c r="AD25" s="12">
        <f>IFERROR(Kosten!C62+Kosten!C63+Kosten!C64+Kosten!C56+(Kosten!C57+Kosten!C58)*(AD5+AD6+AD7)+Kosten!C65*SUM(AD16:AD24),0)</f>
        <v/>
      </c>
      <c r="AE25" s="12">
        <f>IFERROR(Kosten!C62+Kosten!C63+Kosten!C64+Kosten!C56+(Kosten!C57+Kosten!C58)*(AE5+AE6+AE7)+Kosten!C65*SUM(AE16:AE24),0)</f>
        <v/>
      </c>
      <c r="AF25" s="12">
        <f>IFERROR(Kosten!C62+Kosten!C63+Kosten!C64+Kosten!C56+(Kosten!C57+Kosten!C58)*(AF5+AF6+AF7)+Kosten!C65*SUM(AF16:AF24),0)</f>
        <v/>
      </c>
      <c r="AG25" s="12">
        <f>IFERROR(Kosten!C62+Kosten!C63+Kosten!C64+Kosten!C56+(Kosten!C57+Kosten!C58)*(AG5+AG6+AG7)+Kosten!C65*SUM(AG16:AG24),0)</f>
        <v/>
      </c>
      <c r="AH25" s="12">
        <f>IFERROR(Kosten!C62+Kosten!C63+Kosten!C64+Kosten!C56+(Kosten!C57+Kosten!C58)*(AH5+AH6+AH7)+Kosten!C65*SUM(AH16:AH24),0)</f>
        <v/>
      </c>
      <c r="AI25" s="12">
        <f>IFERROR(Kosten!C62+Kosten!C63+Kosten!C64+Kosten!C56+(Kosten!C57+Kosten!C58)*(AI5+AI6+AI7)+Kosten!C65*SUM(AI16:AI24),0)</f>
        <v/>
      </c>
      <c r="AJ25" s="12">
        <f>IFERROR(Kosten!C62+Kosten!C63+Kosten!C64+Kosten!C56+(Kosten!C57+Kosten!C58)*(AJ5+AJ6+AJ7)+Kosten!C65*SUM(AJ16:AJ24),0)</f>
        <v/>
      </c>
      <c r="AK25" s="12">
        <f>IFERROR(Kosten!C62+Kosten!C63+Kosten!C64+Kosten!C56+(Kosten!C57+Kosten!C58)*(AK5+AK6+AK7)+Kosten!C65*SUM(AK16:AK24),0)</f>
        <v/>
      </c>
    </row>
    <row r="26">
      <c r="A26" s="14" t="inlineStr">
        <is>
          <t>TOTALE KOSTEN</t>
        </is>
      </c>
      <c r="B26" s="15">
        <f>IFERROR(SUM(B16:B25),0)</f>
        <v/>
      </c>
      <c r="C26" s="15">
        <f>IFERROR(SUM(C16:C25),0)</f>
        <v/>
      </c>
      <c r="D26" s="15">
        <f>IFERROR(SUM(D16:D25),0)</f>
        <v/>
      </c>
      <c r="E26" s="15">
        <f>IFERROR(SUM(E16:E25),0)</f>
        <v/>
      </c>
      <c r="F26" s="15">
        <f>IFERROR(SUM(F16:F25),0)</f>
        <v/>
      </c>
      <c r="G26" s="15">
        <f>IFERROR(SUM(G16:G25),0)</f>
        <v/>
      </c>
      <c r="H26" s="15">
        <f>IFERROR(SUM(H16:H25),0)</f>
        <v/>
      </c>
      <c r="I26" s="15">
        <f>IFERROR(SUM(I16:I25),0)</f>
        <v/>
      </c>
      <c r="J26" s="15">
        <f>IFERROR(SUM(J16:J25),0)</f>
        <v/>
      </c>
      <c r="K26" s="15">
        <f>IFERROR(SUM(K16:K25),0)</f>
        <v/>
      </c>
      <c r="L26" s="15">
        <f>IFERROR(SUM(L16:L25),0)</f>
        <v/>
      </c>
      <c r="M26" s="15">
        <f>IFERROR(SUM(M16:M25),0)</f>
        <v/>
      </c>
      <c r="N26" s="15">
        <f>IFERROR(SUM(N16:N25),0)</f>
        <v/>
      </c>
      <c r="O26" s="15">
        <f>IFERROR(SUM(O16:O25),0)</f>
        <v/>
      </c>
      <c r="P26" s="15">
        <f>IFERROR(SUM(P16:P25),0)</f>
        <v/>
      </c>
      <c r="Q26" s="15">
        <f>IFERROR(SUM(Q16:Q25),0)</f>
        <v/>
      </c>
      <c r="R26" s="15">
        <f>IFERROR(SUM(R16:R25),0)</f>
        <v/>
      </c>
      <c r="S26" s="15">
        <f>IFERROR(SUM(S16:S25),0)</f>
        <v/>
      </c>
      <c r="T26" s="15">
        <f>IFERROR(SUM(T16:T25),0)</f>
        <v/>
      </c>
      <c r="U26" s="15">
        <f>IFERROR(SUM(U16:U25),0)</f>
        <v/>
      </c>
      <c r="V26" s="15">
        <f>IFERROR(SUM(V16:V25),0)</f>
        <v/>
      </c>
      <c r="W26" s="15">
        <f>IFERROR(SUM(W16:W25),0)</f>
        <v/>
      </c>
      <c r="X26" s="15">
        <f>IFERROR(SUM(X16:X25),0)</f>
        <v/>
      </c>
      <c r="Y26" s="15">
        <f>IFERROR(SUM(Y16:Y25),0)</f>
        <v/>
      </c>
      <c r="Z26" s="15">
        <f>IFERROR(SUM(Z16:Z25),0)</f>
        <v/>
      </c>
      <c r="AA26" s="15">
        <f>IFERROR(SUM(AA16:AA25),0)</f>
        <v/>
      </c>
      <c r="AB26" s="15">
        <f>IFERROR(SUM(AB16:AB25),0)</f>
        <v/>
      </c>
      <c r="AC26" s="15">
        <f>IFERROR(SUM(AC16:AC25),0)</f>
        <v/>
      </c>
      <c r="AD26" s="15">
        <f>IFERROR(SUM(AD16:AD25),0)</f>
        <v/>
      </c>
      <c r="AE26" s="15">
        <f>IFERROR(SUM(AE16:AE25),0)</f>
        <v/>
      </c>
      <c r="AF26" s="15">
        <f>IFERROR(SUM(AF16:AF25),0)</f>
        <v/>
      </c>
      <c r="AG26" s="15">
        <f>IFERROR(SUM(AG16:AG25),0)</f>
        <v/>
      </c>
      <c r="AH26" s="15">
        <f>IFERROR(SUM(AH16:AH25),0)</f>
        <v/>
      </c>
      <c r="AI26" s="15">
        <f>IFERROR(SUM(AI16:AI25),0)</f>
        <v/>
      </c>
      <c r="AJ26" s="15">
        <f>IFERROR(SUM(AJ16:AJ25),0)</f>
        <v/>
      </c>
      <c r="AK26" s="15">
        <f>IFERROR(SUM(AK16:AK25),0)</f>
        <v/>
      </c>
    </row>
    <row r="27"/>
    <row r="28">
      <c r="A28" s="16" t="inlineStr">
        <is>
          <t>NETTO RESULTAAT</t>
        </is>
      </c>
      <c r="B28" s="18">
        <f>IFERROR(B13-B26,0)</f>
        <v/>
      </c>
      <c r="C28" s="18">
        <f>IFERROR(C13-C26,0)</f>
        <v/>
      </c>
      <c r="D28" s="18">
        <f>IFERROR(D13-D26,0)</f>
        <v/>
      </c>
      <c r="E28" s="18">
        <f>IFERROR(E13-E26,0)</f>
        <v/>
      </c>
      <c r="F28" s="18">
        <f>IFERROR(F13-F26,0)</f>
        <v/>
      </c>
      <c r="G28" s="18">
        <f>IFERROR(G13-G26,0)</f>
        <v/>
      </c>
      <c r="H28" s="18">
        <f>IFERROR(H13-H26,0)</f>
        <v/>
      </c>
      <c r="I28" s="18">
        <f>IFERROR(I13-I26,0)</f>
        <v/>
      </c>
      <c r="J28" s="18">
        <f>IFERROR(J13-J26,0)</f>
        <v/>
      </c>
      <c r="K28" s="18">
        <f>IFERROR(K13-K26,0)</f>
        <v/>
      </c>
      <c r="L28" s="18">
        <f>IFERROR(L13-L26,0)</f>
        <v/>
      </c>
      <c r="M28" s="18">
        <f>IFERROR(M13-M26,0)</f>
        <v/>
      </c>
      <c r="N28" s="18">
        <f>IFERROR(N13-N26,0)</f>
        <v/>
      </c>
      <c r="O28" s="18">
        <f>IFERROR(O13-O26,0)</f>
        <v/>
      </c>
      <c r="P28" s="18">
        <f>IFERROR(P13-P26,0)</f>
        <v/>
      </c>
      <c r="Q28" s="18">
        <f>IFERROR(Q13-Q26,0)</f>
        <v/>
      </c>
      <c r="R28" s="18">
        <f>IFERROR(R13-R26,0)</f>
        <v/>
      </c>
      <c r="S28" s="18">
        <f>IFERROR(S13-S26,0)</f>
        <v/>
      </c>
      <c r="T28" s="18">
        <f>IFERROR(T13-T26,0)</f>
        <v/>
      </c>
      <c r="U28" s="18">
        <f>IFERROR(U13-U26,0)</f>
        <v/>
      </c>
      <c r="V28" s="18">
        <f>IFERROR(V13-V26,0)</f>
        <v/>
      </c>
      <c r="W28" s="18">
        <f>IFERROR(W13-W26,0)</f>
        <v/>
      </c>
      <c r="X28" s="18">
        <f>IFERROR(X13-X26,0)</f>
        <v/>
      </c>
      <c r="Y28" s="18">
        <f>IFERROR(Y13-Y26,0)</f>
        <v/>
      </c>
      <c r="Z28" s="18">
        <f>IFERROR(Z13-Z26,0)</f>
        <v/>
      </c>
      <c r="AA28" s="18">
        <f>IFERROR(AA13-AA26,0)</f>
        <v/>
      </c>
      <c r="AB28" s="18">
        <f>IFERROR(AB13-AB26,0)</f>
        <v/>
      </c>
      <c r="AC28" s="18">
        <f>IFERROR(AC13-AC26,0)</f>
        <v/>
      </c>
      <c r="AD28" s="18">
        <f>IFERROR(AD13-AD26,0)</f>
        <v/>
      </c>
      <c r="AE28" s="18">
        <f>IFERROR(AE13-AE26,0)</f>
        <v/>
      </c>
      <c r="AF28" s="18">
        <f>IFERROR(AF13-AF26,0)</f>
        <v/>
      </c>
      <c r="AG28" s="18">
        <f>IFERROR(AG13-AG26,0)</f>
        <v/>
      </c>
      <c r="AH28" s="18">
        <f>IFERROR(AH13-AH26,0)</f>
        <v/>
      </c>
      <c r="AI28" s="18">
        <f>IFERROR(AI13-AI26,0)</f>
        <v/>
      </c>
      <c r="AJ28" s="18">
        <f>IFERROR(AJ13-AJ26,0)</f>
        <v/>
      </c>
      <c r="AK28" s="18">
        <f>IFERROR(AK13-AK26,0)</f>
        <v/>
      </c>
    </row>
    <row r="29">
      <c r="A29" s="20" t="inlineStr">
        <is>
          <t>Marge %</t>
        </is>
      </c>
      <c r="B29" s="21">
        <f>IFERROR(B28/B13,"")</f>
        <v/>
      </c>
      <c r="C29" s="21">
        <f>IFERROR(C28/C13,"")</f>
        <v/>
      </c>
      <c r="D29" s="21">
        <f>IFERROR(D28/D13,"")</f>
        <v/>
      </c>
      <c r="E29" s="21">
        <f>IFERROR(E28/E13,"")</f>
        <v/>
      </c>
      <c r="F29" s="21">
        <f>IFERROR(F28/F13,"")</f>
        <v/>
      </c>
      <c r="G29" s="21">
        <f>IFERROR(G28/G13,"")</f>
        <v/>
      </c>
      <c r="H29" s="21">
        <f>IFERROR(H28/H13,"")</f>
        <v/>
      </c>
      <c r="I29" s="21">
        <f>IFERROR(I28/I13,"")</f>
        <v/>
      </c>
      <c r="J29" s="21">
        <f>IFERROR(J28/J13,"")</f>
        <v/>
      </c>
      <c r="K29" s="21">
        <f>IFERROR(K28/K13,"")</f>
        <v/>
      </c>
      <c r="L29" s="21">
        <f>IFERROR(L28/L13,"")</f>
        <v/>
      </c>
      <c r="M29" s="21">
        <f>IFERROR(M28/M13,"")</f>
        <v/>
      </c>
      <c r="N29" s="21">
        <f>IFERROR(N28/N13,"")</f>
        <v/>
      </c>
      <c r="O29" s="21">
        <f>IFERROR(O28/O13,"")</f>
        <v/>
      </c>
      <c r="P29" s="21">
        <f>IFERROR(P28/P13,"")</f>
        <v/>
      </c>
      <c r="Q29" s="21">
        <f>IFERROR(Q28/Q13,"")</f>
        <v/>
      </c>
      <c r="R29" s="21">
        <f>IFERROR(R28/R13,"")</f>
        <v/>
      </c>
      <c r="S29" s="21">
        <f>IFERROR(S28/S13,"")</f>
        <v/>
      </c>
      <c r="T29" s="21">
        <f>IFERROR(T28/T13,"")</f>
        <v/>
      </c>
      <c r="U29" s="21">
        <f>IFERROR(U28/U13,"")</f>
        <v/>
      </c>
      <c r="V29" s="21">
        <f>IFERROR(V28/V13,"")</f>
        <v/>
      </c>
      <c r="W29" s="21">
        <f>IFERROR(W28/W13,"")</f>
        <v/>
      </c>
      <c r="X29" s="21">
        <f>IFERROR(X28/X13,"")</f>
        <v/>
      </c>
      <c r="Y29" s="21">
        <f>IFERROR(Y28/Y13,"")</f>
        <v/>
      </c>
      <c r="Z29" s="21">
        <f>IFERROR(Z28/Z13,"")</f>
        <v/>
      </c>
      <c r="AA29" s="21">
        <f>IFERROR(AA28/AA13,"")</f>
        <v/>
      </c>
      <c r="AB29" s="21">
        <f>IFERROR(AB28/AB13,"")</f>
        <v/>
      </c>
      <c r="AC29" s="21">
        <f>IFERROR(AC28/AC13,"")</f>
        <v/>
      </c>
      <c r="AD29" s="21">
        <f>IFERROR(AD28/AD13,"")</f>
        <v/>
      </c>
      <c r="AE29" s="21">
        <f>IFERROR(AE28/AE13,"")</f>
        <v/>
      </c>
      <c r="AF29" s="21">
        <f>IFERROR(AF28/AF13,"")</f>
        <v/>
      </c>
      <c r="AG29" s="21">
        <f>IFERROR(AG28/AG13,"")</f>
        <v/>
      </c>
      <c r="AH29" s="21">
        <f>IFERROR(AH28/AH13,"")</f>
        <v/>
      </c>
      <c r="AI29" s="21">
        <f>IFERROR(AI28/AI13,"")</f>
        <v/>
      </c>
      <c r="AJ29" s="21">
        <f>IFERROR(AJ28/AJ13,"")</f>
        <v/>
      </c>
      <c r="AK29" s="21">
        <f>IFERROR(AK28/AK13,"")</f>
        <v/>
      </c>
    </row>
    <row r="30">
      <c r="A30" s="20" t="inlineStr">
        <is>
          <t>Cumulatief resultaat</t>
        </is>
      </c>
      <c r="B30" s="22">
        <f>B28</f>
        <v/>
      </c>
      <c r="C30" s="22">
        <f>B30+C28</f>
        <v/>
      </c>
      <c r="D30" s="22">
        <f>C30+D28</f>
        <v/>
      </c>
      <c r="E30" s="22">
        <f>D30+E28</f>
        <v/>
      </c>
      <c r="F30" s="22">
        <f>E30+F28</f>
        <v/>
      </c>
      <c r="G30" s="22">
        <f>F30+G28</f>
        <v/>
      </c>
      <c r="H30" s="22">
        <f>G30+H28</f>
        <v/>
      </c>
      <c r="I30" s="22">
        <f>H30+I28</f>
        <v/>
      </c>
      <c r="J30" s="22">
        <f>I30+J28</f>
        <v/>
      </c>
      <c r="K30" s="22">
        <f>J30+K28</f>
        <v/>
      </c>
      <c r="L30" s="22">
        <f>K30+L28</f>
        <v/>
      </c>
      <c r="M30" s="22">
        <f>L30+M28</f>
        <v/>
      </c>
      <c r="N30" s="22">
        <f>M30+N28</f>
        <v/>
      </c>
      <c r="O30" s="22">
        <f>N30+O28</f>
        <v/>
      </c>
      <c r="P30" s="22">
        <f>O30+P28</f>
        <v/>
      </c>
      <c r="Q30" s="22">
        <f>P30+Q28</f>
        <v/>
      </c>
      <c r="R30" s="22">
        <f>Q30+R28</f>
        <v/>
      </c>
      <c r="S30" s="22">
        <f>R30+S28</f>
        <v/>
      </c>
      <c r="T30" s="22">
        <f>S30+T28</f>
        <v/>
      </c>
      <c r="U30" s="22">
        <f>T30+U28</f>
        <v/>
      </c>
      <c r="V30" s="22">
        <f>U30+V28</f>
        <v/>
      </c>
      <c r="W30" s="22">
        <f>V30+W28</f>
        <v/>
      </c>
      <c r="X30" s="22">
        <f>W30+X28</f>
        <v/>
      </c>
      <c r="Y30" s="22">
        <f>X30+Y28</f>
        <v/>
      </c>
      <c r="Z30" s="22">
        <f>Y30+Z28</f>
        <v/>
      </c>
      <c r="AA30" s="22">
        <f>Z30+AA28</f>
        <v/>
      </c>
      <c r="AB30" s="22">
        <f>AA30+AB28</f>
        <v/>
      </c>
      <c r="AC30" s="22">
        <f>AB30+AC28</f>
        <v/>
      </c>
      <c r="AD30" s="22">
        <f>AC30+AD28</f>
        <v/>
      </c>
      <c r="AE30" s="22">
        <f>AD30+AE28</f>
        <v/>
      </c>
      <c r="AF30" s="22">
        <f>AE30+AF28</f>
        <v/>
      </c>
      <c r="AG30" s="22">
        <f>AF30+AG28</f>
        <v/>
      </c>
      <c r="AH30" s="22">
        <f>AG30+AH28</f>
        <v/>
      </c>
      <c r="AI30" s="22">
        <f>AH30+AI28</f>
        <v/>
      </c>
      <c r="AJ30" s="22">
        <f>AI30+AJ28</f>
        <v/>
      </c>
      <c r="AK30" s="22">
        <f>AJ30+AK28</f>
        <v/>
      </c>
    </row>
    <row r="31"/>
    <row r="32"/>
    <row r="33">
      <c r="A33" s="3" t="inlineStr">
        <is>
          <t>JAARTOTALEN</t>
        </is>
      </c>
      <c r="B33" s="4" t="n"/>
      <c r="C33" s="4" t="n"/>
      <c r="D33" s="4" t="n"/>
      <c r="E33" s="4" t="n"/>
    </row>
    <row r="34">
      <c r="A34" s="20" t="inlineStr"/>
      <c r="B34" s="20" t="inlineStr">
        <is>
          <t>2026 (5 mnd)</t>
        </is>
      </c>
      <c r="C34" s="20" t="inlineStr">
        <is>
          <t>2027</t>
        </is>
      </c>
      <c r="D34" s="20" t="inlineStr">
        <is>
          <t>2028</t>
        </is>
      </c>
      <c r="E34" s="20" t="inlineStr">
        <is>
          <t>2029 (7 mnd)</t>
        </is>
      </c>
    </row>
    <row r="35">
      <c r="A35" s="5" t="inlineStr">
        <is>
          <t>Omzet</t>
        </is>
      </c>
      <c r="B35" s="23">
        <f>B13+C13+D13+E13+F13</f>
        <v/>
      </c>
      <c r="C35" s="23">
        <f>G13+H13+I13+J13+K13+L13+M13+N13+O13+P13+Q13+R13</f>
        <v/>
      </c>
      <c r="D35" s="23">
        <f>S13+T13+U13+V13+W13+X13+Y13+Z13+AA13+AB13+AC13+AD13</f>
        <v/>
      </c>
      <c r="E35" s="23">
        <f>AE13+AF13+AG13+AH13+AI13+AJ13+AK13</f>
        <v/>
      </c>
    </row>
    <row r="36">
      <c r="A36" s="5" t="inlineStr">
        <is>
          <t>Kosten</t>
        </is>
      </c>
      <c r="B36" s="23">
        <f>B26+C26+D26+E26+F26</f>
        <v/>
      </c>
      <c r="C36" s="23">
        <f>G26+H26+I26+J26+K26+L26+M26+N26+O26+P26+Q26+R26</f>
        <v/>
      </c>
      <c r="D36" s="23">
        <f>S26+T26+U26+V26+W26+X26+Y26+Z26+AA26+AB26+AC26+AD26</f>
        <v/>
      </c>
      <c r="E36" s="23">
        <f>AE26+AF26+AG26+AH26+AI26+AJ26+AK26</f>
        <v/>
      </c>
    </row>
    <row r="37">
      <c r="A37" s="5" t="inlineStr">
        <is>
          <t>Resultaat</t>
        </is>
      </c>
      <c r="B37" s="22">
        <f>B28+C28+D28+E28+F28</f>
        <v/>
      </c>
      <c r="C37" s="22">
        <f>G28+H28+I28+J28+K28+L28+M28+N28+O28+P28+Q28+R28</f>
        <v/>
      </c>
      <c r="D37" s="22">
        <f>S28+T28+U28+V28+W28+X28+Y28+Z28+AA28+AB28+AC28+AD28</f>
        <v/>
      </c>
      <c r="E37" s="22">
        <f>AE28+AF28+AG28+AH28+AI28+AJ28+AK28</f>
        <v/>
      </c>
    </row>
  </sheetData>
  <mergeCells count="1">
    <mergeCell ref="A1:A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HES Cashflow 2026-2029</t>
        </is>
      </c>
    </row>
    <row r="2"/>
    <row r="3">
      <c r="A3" s="20" t="inlineStr">
        <is>
          <t>Startkapitaal (EUR)</t>
        </is>
      </c>
      <c r="B3" s="28">
        <f>Aannames!B5</f>
        <v/>
      </c>
    </row>
    <row r="4"/>
    <row r="5">
      <c r="A5" s="10" t="inlineStr"/>
      <c r="B5" s="10" t="inlineStr">
        <is>
          <t>Aug '26</t>
        </is>
      </c>
      <c r="C5" s="10" t="inlineStr">
        <is>
          <t>Sep '26</t>
        </is>
      </c>
      <c r="D5" s="10" t="inlineStr">
        <is>
          <t>Okt '26</t>
        </is>
      </c>
      <c r="E5" s="10" t="inlineStr">
        <is>
          <t>Nov '26</t>
        </is>
      </c>
      <c r="F5" s="10" t="inlineStr">
        <is>
          <t>Dec '26</t>
        </is>
      </c>
      <c r="G5" s="10" t="inlineStr">
        <is>
          <t>Jan '27</t>
        </is>
      </c>
      <c r="H5" s="10" t="inlineStr">
        <is>
          <t>Feb '27</t>
        </is>
      </c>
      <c r="I5" s="10" t="inlineStr">
        <is>
          <t>Mrt '27</t>
        </is>
      </c>
      <c r="J5" s="10" t="inlineStr">
        <is>
          <t>Apr '27</t>
        </is>
      </c>
      <c r="K5" s="10" t="inlineStr">
        <is>
          <t>Mei '27</t>
        </is>
      </c>
      <c r="L5" s="10" t="inlineStr">
        <is>
          <t>Jun '27</t>
        </is>
      </c>
      <c r="M5" s="10" t="inlineStr">
        <is>
          <t>Jul '27</t>
        </is>
      </c>
      <c r="N5" s="10" t="inlineStr">
        <is>
          <t>Aug '27</t>
        </is>
      </c>
      <c r="O5" s="10" t="inlineStr">
        <is>
          <t>Sep '27</t>
        </is>
      </c>
      <c r="P5" s="10" t="inlineStr">
        <is>
          <t>Okt '27</t>
        </is>
      </c>
      <c r="Q5" s="10" t="inlineStr">
        <is>
          <t>Nov '27</t>
        </is>
      </c>
      <c r="R5" s="10" t="inlineStr">
        <is>
          <t>Dec '27</t>
        </is>
      </c>
      <c r="S5" s="10" t="inlineStr">
        <is>
          <t>Jan '28</t>
        </is>
      </c>
      <c r="T5" s="10" t="inlineStr">
        <is>
          <t>Feb '28</t>
        </is>
      </c>
      <c r="U5" s="10" t="inlineStr">
        <is>
          <t>Mrt '28</t>
        </is>
      </c>
      <c r="V5" s="10" t="inlineStr">
        <is>
          <t>Apr '28</t>
        </is>
      </c>
      <c r="W5" s="10" t="inlineStr">
        <is>
          <t>Mei '28</t>
        </is>
      </c>
      <c r="X5" s="10" t="inlineStr">
        <is>
          <t>Jun '28</t>
        </is>
      </c>
      <c r="Y5" s="10" t="inlineStr">
        <is>
          <t>Jul '28</t>
        </is>
      </c>
      <c r="Z5" s="10" t="inlineStr">
        <is>
          <t>Aug '28</t>
        </is>
      </c>
      <c r="AA5" s="10" t="inlineStr">
        <is>
          <t>Sep '28</t>
        </is>
      </c>
      <c r="AB5" s="10" t="inlineStr">
        <is>
          <t>Okt '28</t>
        </is>
      </c>
      <c r="AC5" s="10" t="inlineStr">
        <is>
          <t>Nov '28</t>
        </is>
      </c>
      <c r="AD5" s="10" t="inlineStr">
        <is>
          <t>Dec '28</t>
        </is>
      </c>
      <c r="AE5" s="10" t="inlineStr">
        <is>
          <t>Jan '29</t>
        </is>
      </c>
      <c r="AF5" s="10" t="inlineStr">
        <is>
          <t>Feb '29</t>
        </is>
      </c>
      <c r="AG5" s="10" t="inlineStr">
        <is>
          <t>Mrt '29</t>
        </is>
      </c>
      <c r="AH5" s="10" t="inlineStr">
        <is>
          <t>Apr '29</t>
        </is>
      </c>
      <c r="AI5" s="10" t="inlineStr">
        <is>
          <t>Mei '29</t>
        </is>
      </c>
      <c r="AJ5" s="10" t="inlineStr">
        <is>
          <t>Jun '29</t>
        </is>
      </c>
      <c r="AK5" s="10" t="inlineStr">
        <is>
          <t>Jul '29</t>
        </is>
      </c>
    </row>
    <row r="6">
      <c r="A6" s="3" t="inlineStr">
        <is>
          <t>INKOMSTEN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5" t="inlineStr">
        <is>
          <t>Batterijsystemen</t>
        </is>
      </c>
      <c r="B7" s="12">
        <f>Budget!B5</f>
        <v/>
      </c>
      <c r="C7" s="12">
        <f>Budget!C5</f>
        <v/>
      </c>
      <c r="D7" s="12">
        <f>Budget!D5</f>
        <v/>
      </c>
      <c r="E7" s="12">
        <f>Budget!E5</f>
        <v/>
      </c>
      <c r="F7" s="12">
        <f>Budget!F5</f>
        <v/>
      </c>
      <c r="G7" s="12">
        <f>Budget!G5</f>
        <v/>
      </c>
      <c r="H7" s="12">
        <f>Budget!H5</f>
        <v/>
      </c>
      <c r="I7" s="12">
        <f>Budget!I5</f>
        <v/>
      </c>
      <c r="J7" s="12">
        <f>Budget!J5</f>
        <v/>
      </c>
      <c r="K7" s="12">
        <f>Budget!K5</f>
        <v/>
      </c>
      <c r="L7" s="12">
        <f>Budget!L5</f>
        <v/>
      </c>
      <c r="M7" s="12">
        <f>Budget!M5</f>
        <v/>
      </c>
      <c r="N7" s="12">
        <f>Budget!N5</f>
        <v/>
      </c>
      <c r="O7" s="12">
        <f>Budget!O5</f>
        <v/>
      </c>
      <c r="P7" s="12">
        <f>Budget!P5</f>
        <v/>
      </c>
      <c r="Q7" s="12">
        <f>Budget!Q5</f>
        <v/>
      </c>
      <c r="R7" s="12">
        <f>Budget!R5</f>
        <v/>
      </c>
      <c r="S7" s="12">
        <f>Budget!S5</f>
        <v/>
      </c>
      <c r="T7" s="12">
        <f>Budget!T5</f>
        <v/>
      </c>
      <c r="U7" s="12">
        <f>Budget!U5</f>
        <v/>
      </c>
      <c r="V7" s="12">
        <f>Budget!V5</f>
        <v/>
      </c>
      <c r="W7" s="12">
        <f>Budget!W5</f>
        <v/>
      </c>
      <c r="X7" s="12">
        <f>Budget!X5</f>
        <v/>
      </c>
      <c r="Y7" s="12">
        <f>Budget!Y5</f>
        <v/>
      </c>
      <c r="Z7" s="12">
        <f>Budget!Z5</f>
        <v/>
      </c>
      <c r="AA7" s="12">
        <f>Budget!AA5</f>
        <v/>
      </c>
      <c r="AB7" s="12">
        <f>Budget!AB5</f>
        <v/>
      </c>
      <c r="AC7" s="12">
        <f>Budget!AC5</f>
        <v/>
      </c>
      <c r="AD7" s="12">
        <f>Budget!AD5</f>
        <v/>
      </c>
      <c r="AE7" s="12">
        <f>Budget!AE5</f>
        <v/>
      </c>
      <c r="AF7" s="12">
        <f>Budget!AF5</f>
        <v/>
      </c>
      <c r="AG7" s="12">
        <f>Budget!AG5</f>
        <v/>
      </c>
      <c r="AH7" s="12">
        <f>Budget!AH5</f>
        <v/>
      </c>
      <c r="AI7" s="12">
        <f>Budget!AI5</f>
        <v/>
      </c>
      <c r="AJ7" s="12">
        <f>Budget!AJ5</f>
        <v/>
      </c>
      <c r="AK7" s="12">
        <f>Budget!AK5</f>
        <v/>
      </c>
    </row>
    <row r="8">
      <c r="A8" s="5" t="inlineStr">
        <is>
          <t>AC Laadpalen</t>
        </is>
      </c>
      <c r="B8" s="12">
        <f>Budget!B6</f>
        <v/>
      </c>
      <c r="C8" s="12">
        <f>Budget!C6</f>
        <v/>
      </c>
      <c r="D8" s="12">
        <f>Budget!D6</f>
        <v/>
      </c>
      <c r="E8" s="12">
        <f>Budget!E6</f>
        <v/>
      </c>
      <c r="F8" s="12">
        <f>Budget!F6</f>
        <v/>
      </c>
      <c r="G8" s="12">
        <f>Budget!G6</f>
        <v/>
      </c>
      <c r="H8" s="12">
        <f>Budget!H6</f>
        <v/>
      </c>
      <c r="I8" s="12">
        <f>Budget!I6</f>
        <v/>
      </c>
      <c r="J8" s="12">
        <f>Budget!J6</f>
        <v/>
      </c>
      <c r="K8" s="12">
        <f>Budget!K6</f>
        <v/>
      </c>
      <c r="L8" s="12">
        <f>Budget!L6</f>
        <v/>
      </c>
      <c r="M8" s="12">
        <f>Budget!M6</f>
        <v/>
      </c>
      <c r="N8" s="12">
        <f>Budget!N6</f>
        <v/>
      </c>
      <c r="O8" s="12">
        <f>Budget!O6</f>
        <v/>
      </c>
      <c r="P8" s="12">
        <f>Budget!P6</f>
        <v/>
      </c>
      <c r="Q8" s="12">
        <f>Budget!Q6</f>
        <v/>
      </c>
      <c r="R8" s="12">
        <f>Budget!R6</f>
        <v/>
      </c>
      <c r="S8" s="12">
        <f>Budget!S6</f>
        <v/>
      </c>
      <c r="T8" s="12">
        <f>Budget!T6</f>
        <v/>
      </c>
      <c r="U8" s="12">
        <f>Budget!U6</f>
        <v/>
      </c>
      <c r="V8" s="12">
        <f>Budget!V6</f>
        <v/>
      </c>
      <c r="W8" s="12">
        <f>Budget!W6</f>
        <v/>
      </c>
      <c r="X8" s="12">
        <f>Budget!X6</f>
        <v/>
      </c>
      <c r="Y8" s="12">
        <f>Budget!Y6</f>
        <v/>
      </c>
      <c r="Z8" s="12">
        <f>Budget!Z6</f>
        <v/>
      </c>
      <c r="AA8" s="12">
        <f>Budget!AA6</f>
        <v/>
      </c>
      <c r="AB8" s="12">
        <f>Budget!AB6</f>
        <v/>
      </c>
      <c r="AC8" s="12">
        <f>Budget!AC6</f>
        <v/>
      </c>
      <c r="AD8" s="12">
        <f>Budget!AD6</f>
        <v/>
      </c>
      <c r="AE8" s="12">
        <f>Budget!AE6</f>
        <v/>
      </c>
      <c r="AF8" s="12">
        <f>Budget!AF6</f>
        <v/>
      </c>
      <c r="AG8" s="12">
        <f>Budget!AG6</f>
        <v/>
      </c>
      <c r="AH8" s="12">
        <f>Budget!AH6</f>
        <v/>
      </c>
      <c r="AI8" s="12">
        <f>Budget!AI6</f>
        <v/>
      </c>
      <c r="AJ8" s="12">
        <f>Budget!AJ6</f>
        <v/>
      </c>
      <c r="AK8" s="12">
        <f>Budget!AK6</f>
        <v/>
      </c>
    </row>
    <row r="9">
      <c r="A9" s="5" t="inlineStr">
        <is>
          <t>DC Snelladers</t>
        </is>
      </c>
      <c r="B9" s="12">
        <f>Budget!B7</f>
        <v/>
      </c>
      <c r="C9" s="12">
        <f>Budget!C7</f>
        <v/>
      </c>
      <c r="D9" s="12">
        <f>Budget!D7</f>
        <v/>
      </c>
      <c r="E9" s="12">
        <f>Budget!E7</f>
        <v/>
      </c>
      <c r="F9" s="12">
        <f>Budget!F7</f>
        <v/>
      </c>
      <c r="G9" s="12">
        <f>Budget!G7</f>
        <v/>
      </c>
      <c r="H9" s="12">
        <f>Budget!H7</f>
        <v/>
      </c>
      <c r="I9" s="12">
        <f>Budget!I7</f>
        <v/>
      </c>
      <c r="J9" s="12">
        <f>Budget!J7</f>
        <v/>
      </c>
      <c r="K9" s="12">
        <f>Budget!K7</f>
        <v/>
      </c>
      <c r="L9" s="12">
        <f>Budget!L7</f>
        <v/>
      </c>
      <c r="M9" s="12">
        <f>Budget!M7</f>
        <v/>
      </c>
      <c r="N9" s="12">
        <f>Budget!N7</f>
        <v/>
      </c>
      <c r="O9" s="12">
        <f>Budget!O7</f>
        <v/>
      </c>
      <c r="P9" s="12">
        <f>Budget!P7</f>
        <v/>
      </c>
      <c r="Q9" s="12">
        <f>Budget!Q7</f>
        <v/>
      </c>
      <c r="R9" s="12">
        <f>Budget!R7</f>
        <v/>
      </c>
      <c r="S9" s="12">
        <f>Budget!S7</f>
        <v/>
      </c>
      <c r="T9" s="12">
        <f>Budget!T7</f>
        <v/>
      </c>
      <c r="U9" s="12">
        <f>Budget!U7</f>
        <v/>
      </c>
      <c r="V9" s="12">
        <f>Budget!V7</f>
        <v/>
      </c>
      <c r="W9" s="12">
        <f>Budget!W7</f>
        <v/>
      </c>
      <c r="X9" s="12">
        <f>Budget!X7</f>
        <v/>
      </c>
      <c r="Y9" s="12">
        <f>Budget!Y7</f>
        <v/>
      </c>
      <c r="Z9" s="12">
        <f>Budget!Z7</f>
        <v/>
      </c>
      <c r="AA9" s="12">
        <f>Budget!AA7</f>
        <v/>
      </c>
      <c r="AB9" s="12">
        <f>Budget!AB7</f>
        <v/>
      </c>
      <c r="AC9" s="12">
        <f>Budget!AC7</f>
        <v/>
      </c>
      <c r="AD9" s="12">
        <f>Budget!AD7</f>
        <v/>
      </c>
      <c r="AE9" s="12">
        <f>Budget!AE7</f>
        <v/>
      </c>
      <c r="AF9" s="12">
        <f>Budget!AF7</f>
        <v/>
      </c>
      <c r="AG9" s="12">
        <f>Budget!AG7</f>
        <v/>
      </c>
      <c r="AH9" s="12">
        <f>Budget!AH7</f>
        <v/>
      </c>
      <c r="AI9" s="12">
        <f>Budget!AI7</f>
        <v/>
      </c>
      <c r="AJ9" s="12">
        <f>Budget!AJ7</f>
        <v/>
      </c>
      <c r="AK9" s="12">
        <f>Budget!AK7</f>
        <v/>
      </c>
    </row>
    <row r="10">
      <c r="A10" s="5" t="inlineStr">
        <is>
          <t>Laadopbrengst kWh</t>
        </is>
      </c>
      <c r="B10" s="12">
        <f>Budget!B8</f>
        <v/>
      </c>
      <c r="C10" s="12">
        <f>Budget!C8</f>
        <v/>
      </c>
      <c r="D10" s="12">
        <f>Budget!D8</f>
        <v/>
      </c>
      <c r="E10" s="12">
        <f>Budget!E8</f>
        <v/>
      </c>
      <c r="F10" s="12">
        <f>Budget!F8</f>
        <v/>
      </c>
      <c r="G10" s="12">
        <f>Budget!G8</f>
        <v/>
      </c>
      <c r="H10" s="12">
        <f>Budget!H8</f>
        <v/>
      </c>
      <c r="I10" s="12">
        <f>Budget!I8</f>
        <v/>
      </c>
      <c r="J10" s="12">
        <f>Budget!J8</f>
        <v/>
      </c>
      <c r="K10" s="12">
        <f>Budget!K8</f>
        <v/>
      </c>
      <c r="L10" s="12">
        <f>Budget!L8</f>
        <v/>
      </c>
      <c r="M10" s="12">
        <f>Budget!M8</f>
        <v/>
      </c>
      <c r="N10" s="12">
        <f>Budget!N8</f>
        <v/>
      </c>
      <c r="O10" s="12">
        <f>Budget!O8</f>
        <v/>
      </c>
      <c r="P10" s="12">
        <f>Budget!P8</f>
        <v/>
      </c>
      <c r="Q10" s="12">
        <f>Budget!Q8</f>
        <v/>
      </c>
      <c r="R10" s="12">
        <f>Budget!R8</f>
        <v/>
      </c>
      <c r="S10" s="12">
        <f>Budget!S8</f>
        <v/>
      </c>
      <c r="T10" s="12">
        <f>Budget!T8</f>
        <v/>
      </c>
      <c r="U10" s="12">
        <f>Budget!U8</f>
        <v/>
      </c>
      <c r="V10" s="12">
        <f>Budget!V8</f>
        <v/>
      </c>
      <c r="W10" s="12">
        <f>Budget!W8</f>
        <v/>
      </c>
      <c r="X10" s="12">
        <f>Budget!X8</f>
        <v/>
      </c>
      <c r="Y10" s="12">
        <f>Budget!Y8</f>
        <v/>
      </c>
      <c r="Z10" s="12">
        <f>Budget!Z8</f>
        <v/>
      </c>
      <c r="AA10" s="12">
        <f>Budget!AA8</f>
        <v/>
      </c>
      <c r="AB10" s="12">
        <f>Budget!AB8</f>
        <v/>
      </c>
      <c r="AC10" s="12">
        <f>Budget!AC8</f>
        <v/>
      </c>
      <c r="AD10" s="12">
        <f>Budget!AD8</f>
        <v/>
      </c>
      <c r="AE10" s="12">
        <f>Budget!AE8</f>
        <v/>
      </c>
      <c r="AF10" s="12">
        <f>Budget!AF8</f>
        <v/>
      </c>
      <c r="AG10" s="12">
        <f>Budget!AG8</f>
        <v/>
      </c>
      <c r="AH10" s="12">
        <f>Budget!AH8</f>
        <v/>
      </c>
      <c r="AI10" s="12">
        <f>Budget!AI8</f>
        <v/>
      </c>
      <c r="AJ10" s="12">
        <f>Budget!AJ8</f>
        <v/>
      </c>
      <c r="AK10" s="12">
        <f>Budget!AK8</f>
        <v/>
      </c>
    </row>
    <row r="11">
      <c r="A11" s="5" t="inlineStr">
        <is>
          <t>Support en onderhoud</t>
        </is>
      </c>
      <c r="B11" s="12">
        <f>Budget!B9</f>
        <v/>
      </c>
      <c r="C11" s="12">
        <f>Budget!C9</f>
        <v/>
      </c>
      <c r="D11" s="12">
        <f>Budget!D9</f>
        <v/>
      </c>
      <c r="E11" s="12">
        <f>Budget!E9</f>
        <v/>
      </c>
      <c r="F11" s="12">
        <f>Budget!F9</f>
        <v/>
      </c>
      <c r="G11" s="12">
        <f>Budget!G9</f>
        <v/>
      </c>
      <c r="H11" s="12">
        <f>Budget!H9</f>
        <v/>
      </c>
      <c r="I11" s="12">
        <f>Budget!I9</f>
        <v/>
      </c>
      <c r="J11" s="12">
        <f>Budget!J9</f>
        <v/>
      </c>
      <c r="K11" s="12">
        <f>Budget!K9</f>
        <v/>
      </c>
      <c r="L11" s="12">
        <f>Budget!L9</f>
        <v/>
      </c>
      <c r="M11" s="12">
        <f>Budget!M9</f>
        <v/>
      </c>
      <c r="N11" s="12">
        <f>Budget!N9</f>
        <v/>
      </c>
      <c r="O11" s="12">
        <f>Budget!O9</f>
        <v/>
      </c>
      <c r="P11" s="12">
        <f>Budget!P9</f>
        <v/>
      </c>
      <c r="Q11" s="12">
        <f>Budget!Q9</f>
        <v/>
      </c>
      <c r="R11" s="12">
        <f>Budget!R9</f>
        <v/>
      </c>
      <c r="S11" s="12">
        <f>Budget!S9</f>
        <v/>
      </c>
      <c r="T11" s="12">
        <f>Budget!T9</f>
        <v/>
      </c>
      <c r="U11" s="12">
        <f>Budget!U9</f>
        <v/>
      </c>
      <c r="V11" s="12">
        <f>Budget!V9</f>
        <v/>
      </c>
      <c r="W11" s="12">
        <f>Budget!W9</f>
        <v/>
      </c>
      <c r="X11" s="12">
        <f>Budget!X9</f>
        <v/>
      </c>
      <c r="Y11" s="12">
        <f>Budget!Y9</f>
        <v/>
      </c>
      <c r="Z11" s="12">
        <f>Budget!Z9</f>
        <v/>
      </c>
      <c r="AA11" s="12">
        <f>Budget!AA9</f>
        <v/>
      </c>
      <c r="AB11" s="12">
        <f>Budget!AB9</f>
        <v/>
      </c>
      <c r="AC11" s="12">
        <f>Budget!AC9</f>
        <v/>
      </c>
      <c r="AD11" s="12">
        <f>Budget!AD9</f>
        <v/>
      </c>
      <c r="AE11" s="12">
        <f>Budget!AE9</f>
        <v/>
      </c>
      <c r="AF11" s="12">
        <f>Budget!AF9</f>
        <v/>
      </c>
      <c r="AG11" s="12">
        <f>Budget!AG9</f>
        <v/>
      </c>
      <c r="AH11" s="12">
        <f>Budget!AH9</f>
        <v/>
      </c>
      <c r="AI11" s="12">
        <f>Budget!AI9</f>
        <v/>
      </c>
      <c r="AJ11" s="12">
        <f>Budget!AJ9</f>
        <v/>
      </c>
      <c r="AK11" s="12">
        <f>Budget!AK9</f>
        <v/>
      </c>
    </row>
    <row r="12">
      <c r="A12" s="5" t="inlineStr">
        <is>
          <t>Onderdelen</t>
        </is>
      </c>
      <c r="B12" s="12">
        <f>Budget!B10</f>
        <v/>
      </c>
      <c r="C12" s="12">
        <f>Budget!C10</f>
        <v/>
      </c>
      <c r="D12" s="12">
        <f>Budget!D10</f>
        <v/>
      </c>
      <c r="E12" s="12">
        <f>Budget!E10</f>
        <v/>
      </c>
      <c r="F12" s="12">
        <f>Budget!F10</f>
        <v/>
      </c>
      <c r="G12" s="12">
        <f>Budget!G10</f>
        <v/>
      </c>
      <c r="H12" s="12">
        <f>Budget!H10</f>
        <v/>
      </c>
      <c r="I12" s="12">
        <f>Budget!I10</f>
        <v/>
      </c>
      <c r="J12" s="12">
        <f>Budget!J10</f>
        <v/>
      </c>
      <c r="K12" s="12">
        <f>Budget!K10</f>
        <v/>
      </c>
      <c r="L12" s="12">
        <f>Budget!L10</f>
        <v/>
      </c>
      <c r="M12" s="12">
        <f>Budget!M10</f>
        <v/>
      </c>
      <c r="N12" s="12">
        <f>Budget!N10</f>
        <v/>
      </c>
      <c r="O12" s="12">
        <f>Budget!O10</f>
        <v/>
      </c>
      <c r="P12" s="12">
        <f>Budget!P10</f>
        <v/>
      </c>
      <c r="Q12" s="12">
        <f>Budget!Q10</f>
        <v/>
      </c>
      <c r="R12" s="12">
        <f>Budget!R10</f>
        <v/>
      </c>
      <c r="S12" s="12">
        <f>Budget!S10</f>
        <v/>
      </c>
      <c r="T12" s="12">
        <f>Budget!T10</f>
        <v/>
      </c>
      <c r="U12" s="12">
        <f>Budget!U10</f>
        <v/>
      </c>
      <c r="V12" s="12">
        <f>Budget!V10</f>
        <v/>
      </c>
      <c r="W12" s="12">
        <f>Budget!W10</f>
        <v/>
      </c>
      <c r="X12" s="12">
        <f>Budget!X10</f>
        <v/>
      </c>
      <c r="Y12" s="12">
        <f>Budget!Y10</f>
        <v/>
      </c>
      <c r="Z12" s="12">
        <f>Budget!Z10</f>
        <v/>
      </c>
      <c r="AA12" s="12">
        <f>Budget!AA10</f>
        <v/>
      </c>
      <c r="AB12" s="12">
        <f>Budget!AB10</f>
        <v/>
      </c>
      <c r="AC12" s="12">
        <f>Budget!AC10</f>
        <v/>
      </c>
      <c r="AD12" s="12">
        <f>Budget!AD10</f>
        <v/>
      </c>
      <c r="AE12" s="12">
        <f>Budget!AE10</f>
        <v/>
      </c>
      <c r="AF12" s="12">
        <f>Budget!AF10</f>
        <v/>
      </c>
      <c r="AG12" s="12">
        <f>Budget!AG10</f>
        <v/>
      </c>
      <c r="AH12" s="12">
        <f>Budget!AH10</f>
        <v/>
      </c>
      <c r="AI12" s="12">
        <f>Budget!AI10</f>
        <v/>
      </c>
      <c r="AJ12" s="12">
        <f>Budget!AJ10</f>
        <v/>
      </c>
      <c r="AK12" s="12">
        <f>Budget!AK10</f>
        <v/>
      </c>
    </row>
    <row r="13">
      <c r="A13" s="5" t="inlineStr">
        <is>
          <t>Kickback zonnepanelen</t>
        </is>
      </c>
      <c r="B13" s="12">
        <f>Budget!B11</f>
        <v/>
      </c>
      <c r="C13" s="12">
        <f>Budget!C11</f>
        <v/>
      </c>
      <c r="D13" s="12">
        <f>Budget!D11</f>
        <v/>
      </c>
      <c r="E13" s="12">
        <f>Budget!E11</f>
        <v/>
      </c>
      <c r="F13" s="12">
        <f>Budget!F11</f>
        <v/>
      </c>
      <c r="G13" s="12">
        <f>Budget!G11</f>
        <v/>
      </c>
      <c r="H13" s="12">
        <f>Budget!H11</f>
        <v/>
      </c>
      <c r="I13" s="12">
        <f>Budget!I11</f>
        <v/>
      </c>
      <c r="J13" s="12">
        <f>Budget!J11</f>
        <v/>
      </c>
      <c r="K13" s="12">
        <f>Budget!K11</f>
        <v/>
      </c>
      <c r="L13" s="12">
        <f>Budget!L11</f>
        <v/>
      </c>
      <c r="M13" s="12">
        <f>Budget!M11</f>
        <v/>
      </c>
      <c r="N13" s="12">
        <f>Budget!N11</f>
        <v/>
      </c>
      <c r="O13" s="12">
        <f>Budget!O11</f>
        <v/>
      </c>
      <c r="P13" s="12">
        <f>Budget!P11</f>
        <v/>
      </c>
      <c r="Q13" s="12">
        <f>Budget!Q11</f>
        <v/>
      </c>
      <c r="R13" s="12">
        <f>Budget!R11</f>
        <v/>
      </c>
      <c r="S13" s="12">
        <f>Budget!S11</f>
        <v/>
      </c>
      <c r="T13" s="12">
        <f>Budget!T11</f>
        <v/>
      </c>
      <c r="U13" s="12">
        <f>Budget!U11</f>
        <v/>
      </c>
      <c r="V13" s="12">
        <f>Budget!V11</f>
        <v/>
      </c>
      <c r="W13" s="12">
        <f>Budget!W11</f>
        <v/>
      </c>
      <c r="X13" s="12">
        <f>Budget!X11</f>
        <v/>
      </c>
      <c r="Y13" s="12">
        <f>Budget!Y11</f>
        <v/>
      </c>
      <c r="Z13" s="12">
        <f>Budget!Z11</f>
        <v/>
      </c>
      <c r="AA13" s="12">
        <f>Budget!AA11</f>
        <v/>
      </c>
      <c r="AB13" s="12">
        <f>Budget!AB11</f>
        <v/>
      </c>
      <c r="AC13" s="12">
        <f>Budget!AC11</f>
        <v/>
      </c>
      <c r="AD13" s="12">
        <f>Budget!AD11</f>
        <v/>
      </c>
      <c r="AE13" s="12">
        <f>Budget!AE11</f>
        <v/>
      </c>
      <c r="AF13" s="12">
        <f>Budget!AF11</f>
        <v/>
      </c>
      <c r="AG13" s="12">
        <f>Budget!AG11</f>
        <v/>
      </c>
      <c r="AH13" s="12">
        <f>Budget!AH11</f>
        <v/>
      </c>
      <c r="AI13" s="12">
        <f>Budget!AI11</f>
        <v/>
      </c>
      <c r="AJ13" s="12">
        <f>Budget!AJ11</f>
        <v/>
      </c>
      <c r="AK13" s="12">
        <f>Budget!AK11</f>
        <v/>
      </c>
    </row>
    <row r="14">
      <c r="A14" s="5" t="inlineStr">
        <is>
          <t>Extra garantie</t>
        </is>
      </c>
      <c r="B14" s="12">
        <f>Budget!B12</f>
        <v/>
      </c>
      <c r="C14" s="12">
        <f>Budget!C12</f>
        <v/>
      </c>
      <c r="D14" s="12">
        <f>Budget!D12</f>
        <v/>
      </c>
      <c r="E14" s="12">
        <f>Budget!E12</f>
        <v/>
      </c>
      <c r="F14" s="12">
        <f>Budget!F12</f>
        <v/>
      </c>
      <c r="G14" s="12">
        <f>Budget!G12</f>
        <v/>
      </c>
      <c r="H14" s="12">
        <f>Budget!H12</f>
        <v/>
      </c>
      <c r="I14" s="12">
        <f>Budget!I12</f>
        <v/>
      </c>
      <c r="J14" s="12">
        <f>Budget!J12</f>
        <v/>
      </c>
      <c r="K14" s="12">
        <f>Budget!K12</f>
        <v/>
      </c>
      <c r="L14" s="12">
        <f>Budget!L12</f>
        <v/>
      </c>
      <c r="M14" s="12">
        <f>Budget!M12</f>
        <v/>
      </c>
      <c r="N14" s="12">
        <f>Budget!N12</f>
        <v/>
      </c>
      <c r="O14" s="12">
        <f>Budget!O12</f>
        <v/>
      </c>
      <c r="P14" s="12">
        <f>Budget!P12</f>
        <v/>
      </c>
      <c r="Q14" s="12">
        <f>Budget!Q12</f>
        <v/>
      </c>
      <c r="R14" s="12">
        <f>Budget!R12</f>
        <v/>
      </c>
      <c r="S14" s="12">
        <f>Budget!S12</f>
        <v/>
      </c>
      <c r="T14" s="12">
        <f>Budget!T12</f>
        <v/>
      </c>
      <c r="U14" s="12">
        <f>Budget!U12</f>
        <v/>
      </c>
      <c r="V14" s="12">
        <f>Budget!V12</f>
        <v/>
      </c>
      <c r="W14" s="12">
        <f>Budget!W12</f>
        <v/>
      </c>
      <c r="X14" s="12">
        <f>Budget!X12</f>
        <v/>
      </c>
      <c r="Y14" s="12">
        <f>Budget!Y12</f>
        <v/>
      </c>
      <c r="Z14" s="12">
        <f>Budget!Z12</f>
        <v/>
      </c>
      <c r="AA14" s="12">
        <f>Budget!AA12</f>
        <v/>
      </c>
      <c r="AB14" s="12">
        <f>Budget!AB12</f>
        <v/>
      </c>
      <c r="AC14" s="12">
        <f>Budget!AC12</f>
        <v/>
      </c>
      <c r="AD14" s="12">
        <f>Budget!AD12</f>
        <v/>
      </c>
      <c r="AE14" s="12">
        <f>Budget!AE12</f>
        <v/>
      </c>
      <c r="AF14" s="12">
        <f>Budget!AF12</f>
        <v/>
      </c>
      <c r="AG14" s="12">
        <f>Budget!AG12</f>
        <v/>
      </c>
      <c r="AH14" s="12">
        <f>Budget!AH12</f>
        <v/>
      </c>
      <c r="AI14" s="12">
        <f>Budget!AI12</f>
        <v/>
      </c>
      <c r="AJ14" s="12">
        <f>Budget!AJ12</f>
        <v/>
      </c>
      <c r="AK14" s="12">
        <f>Budget!AK12</f>
        <v/>
      </c>
    </row>
    <row r="15">
      <c r="A15" s="14" t="inlineStr">
        <is>
          <t>TOTALE INKOMSTEN</t>
        </is>
      </c>
      <c r="B15" s="15">
        <f>SUM(B7:B14)</f>
        <v/>
      </c>
      <c r="C15" s="15">
        <f>SUM(C7:C14)</f>
        <v/>
      </c>
      <c r="D15" s="15">
        <f>SUM(D7:D14)</f>
        <v/>
      </c>
      <c r="E15" s="15">
        <f>SUM(E7:E14)</f>
        <v/>
      </c>
      <c r="F15" s="15">
        <f>SUM(F7:F14)</f>
        <v/>
      </c>
      <c r="G15" s="15">
        <f>SUM(G7:G14)</f>
        <v/>
      </c>
      <c r="H15" s="15">
        <f>SUM(H7:H14)</f>
        <v/>
      </c>
      <c r="I15" s="15">
        <f>SUM(I7:I14)</f>
        <v/>
      </c>
      <c r="J15" s="15">
        <f>SUM(J7:J14)</f>
        <v/>
      </c>
      <c r="K15" s="15">
        <f>SUM(K7:K14)</f>
        <v/>
      </c>
      <c r="L15" s="15">
        <f>SUM(L7:L14)</f>
        <v/>
      </c>
      <c r="M15" s="15">
        <f>SUM(M7:M14)</f>
        <v/>
      </c>
      <c r="N15" s="15">
        <f>SUM(N7:N14)</f>
        <v/>
      </c>
      <c r="O15" s="15">
        <f>SUM(O7:O14)</f>
        <v/>
      </c>
      <c r="P15" s="15">
        <f>SUM(P7:P14)</f>
        <v/>
      </c>
      <c r="Q15" s="15">
        <f>SUM(Q7:Q14)</f>
        <v/>
      </c>
      <c r="R15" s="15">
        <f>SUM(R7:R14)</f>
        <v/>
      </c>
      <c r="S15" s="15">
        <f>SUM(S7:S14)</f>
        <v/>
      </c>
      <c r="T15" s="15">
        <f>SUM(T7:T14)</f>
        <v/>
      </c>
      <c r="U15" s="15">
        <f>SUM(U7:U14)</f>
        <v/>
      </c>
      <c r="V15" s="15">
        <f>SUM(V7:V14)</f>
        <v/>
      </c>
      <c r="W15" s="15">
        <f>SUM(W7:W14)</f>
        <v/>
      </c>
      <c r="X15" s="15">
        <f>SUM(X7:X14)</f>
        <v/>
      </c>
      <c r="Y15" s="15">
        <f>SUM(Y7:Y14)</f>
        <v/>
      </c>
      <c r="Z15" s="15">
        <f>SUM(Z7:Z14)</f>
        <v/>
      </c>
      <c r="AA15" s="15">
        <f>SUM(AA7:AA14)</f>
        <v/>
      </c>
      <c r="AB15" s="15">
        <f>SUM(AB7:AB14)</f>
        <v/>
      </c>
      <c r="AC15" s="15">
        <f>SUM(AC7:AC14)</f>
        <v/>
      </c>
      <c r="AD15" s="15">
        <f>SUM(AD7:AD14)</f>
        <v/>
      </c>
      <c r="AE15" s="15">
        <f>SUM(AE7:AE14)</f>
        <v/>
      </c>
      <c r="AF15" s="15">
        <f>SUM(AF7:AF14)</f>
        <v/>
      </c>
      <c r="AG15" s="15">
        <f>SUM(AG7:AG14)</f>
        <v/>
      </c>
      <c r="AH15" s="15">
        <f>SUM(AH7:AH14)</f>
        <v/>
      </c>
      <c r="AI15" s="15">
        <f>SUM(AI7:AI14)</f>
        <v/>
      </c>
      <c r="AJ15" s="15">
        <f>SUM(AJ7:AJ14)</f>
        <v/>
      </c>
      <c r="AK15" s="15">
        <f>SUM(AK7:AK14)</f>
        <v/>
      </c>
    </row>
    <row r="16"/>
    <row r="17">
      <c r="A17" s="3" t="inlineStr">
        <is>
          <t>UITGAVEN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>
      <c r="A18" s="5" t="inlineStr">
        <is>
          <t>Inkoop batterijen</t>
        </is>
      </c>
      <c r="B18" s="12">
        <f>Budget!B16</f>
        <v/>
      </c>
      <c r="C18" s="12">
        <f>Budget!C16</f>
        <v/>
      </c>
      <c r="D18" s="12">
        <f>Budget!D16</f>
        <v/>
      </c>
      <c r="E18" s="12">
        <f>Budget!E16</f>
        <v/>
      </c>
      <c r="F18" s="12">
        <f>Budget!F16</f>
        <v/>
      </c>
      <c r="G18" s="12">
        <f>Budget!G16</f>
        <v/>
      </c>
      <c r="H18" s="12">
        <f>Budget!H16</f>
        <v/>
      </c>
      <c r="I18" s="12">
        <f>Budget!I16</f>
        <v/>
      </c>
      <c r="J18" s="12">
        <f>Budget!J16</f>
        <v/>
      </c>
      <c r="K18" s="12">
        <f>Budget!K16</f>
        <v/>
      </c>
      <c r="L18" s="12">
        <f>Budget!L16</f>
        <v/>
      </c>
      <c r="M18" s="12">
        <f>Budget!M16</f>
        <v/>
      </c>
      <c r="N18" s="12">
        <f>Budget!N16</f>
        <v/>
      </c>
      <c r="O18" s="12">
        <f>Budget!O16</f>
        <v/>
      </c>
      <c r="P18" s="12">
        <f>Budget!P16</f>
        <v/>
      </c>
      <c r="Q18" s="12">
        <f>Budget!Q16</f>
        <v/>
      </c>
      <c r="R18" s="12">
        <f>Budget!R16</f>
        <v/>
      </c>
      <c r="S18" s="12">
        <f>Budget!S16</f>
        <v/>
      </c>
      <c r="T18" s="12">
        <f>Budget!T16</f>
        <v/>
      </c>
      <c r="U18" s="12">
        <f>Budget!U16</f>
        <v/>
      </c>
      <c r="V18" s="12">
        <f>Budget!V16</f>
        <v/>
      </c>
      <c r="W18" s="12">
        <f>Budget!W16</f>
        <v/>
      </c>
      <c r="X18" s="12">
        <f>Budget!X16</f>
        <v/>
      </c>
      <c r="Y18" s="12">
        <f>Budget!Y16</f>
        <v/>
      </c>
      <c r="Z18" s="12">
        <f>Budget!Z16</f>
        <v/>
      </c>
      <c r="AA18" s="12">
        <f>Budget!AA16</f>
        <v/>
      </c>
      <c r="AB18" s="12">
        <f>Budget!AB16</f>
        <v/>
      </c>
      <c r="AC18" s="12">
        <f>Budget!AC16</f>
        <v/>
      </c>
      <c r="AD18" s="12">
        <f>Budget!AD16</f>
        <v/>
      </c>
      <c r="AE18" s="12">
        <f>Budget!AE16</f>
        <v/>
      </c>
      <c r="AF18" s="12">
        <f>Budget!AF16</f>
        <v/>
      </c>
      <c r="AG18" s="12">
        <f>Budget!AG16</f>
        <v/>
      </c>
      <c r="AH18" s="12">
        <f>Budget!AH16</f>
        <v/>
      </c>
      <c r="AI18" s="12">
        <f>Budget!AI16</f>
        <v/>
      </c>
      <c r="AJ18" s="12">
        <f>Budget!AJ16</f>
        <v/>
      </c>
      <c r="AK18" s="12">
        <f>Budget!AK16</f>
        <v/>
      </c>
    </row>
    <row r="19">
      <c r="A19" s="5" t="inlineStr">
        <is>
          <t>Inkoop AC laders</t>
        </is>
      </c>
      <c r="B19" s="12">
        <f>Budget!B17</f>
        <v/>
      </c>
      <c r="C19" s="12">
        <f>Budget!C17</f>
        <v/>
      </c>
      <c r="D19" s="12">
        <f>Budget!D17</f>
        <v/>
      </c>
      <c r="E19" s="12">
        <f>Budget!E17</f>
        <v/>
      </c>
      <c r="F19" s="12">
        <f>Budget!F17</f>
        <v/>
      </c>
      <c r="G19" s="12">
        <f>Budget!G17</f>
        <v/>
      </c>
      <c r="H19" s="12">
        <f>Budget!H17</f>
        <v/>
      </c>
      <c r="I19" s="12">
        <f>Budget!I17</f>
        <v/>
      </c>
      <c r="J19" s="12">
        <f>Budget!J17</f>
        <v/>
      </c>
      <c r="K19" s="12">
        <f>Budget!K17</f>
        <v/>
      </c>
      <c r="L19" s="12">
        <f>Budget!L17</f>
        <v/>
      </c>
      <c r="M19" s="12">
        <f>Budget!M17</f>
        <v/>
      </c>
      <c r="N19" s="12">
        <f>Budget!N17</f>
        <v/>
      </c>
      <c r="O19" s="12">
        <f>Budget!O17</f>
        <v/>
      </c>
      <c r="P19" s="12">
        <f>Budget!P17</f>
        <v/>
      </c>
      <c r="Q19" s="12">
        <f>Budget!Q17</f>
        <v/>
      </c>
      <c r="R19" s="12">
        <f>Budget!R17</f>
        <v/>
      </c>
      <c r="S19" s="12">
        <f>Budget!S17</f>
        <v/>
      </c>
      <c r="T19" s="12">
        <f>Budget!T17</f>
        <v/>
      </c>
      <c r="U19" s="12">
        <f>Budget!U17</f>
        <v/>
      </c>
      <c r="V19" s="12">
        <f>Budget!V17</f>
        <v/>
      </c>
      <c r="W19" s="12">
        <f>Budget!W17</f>
        <v/>
      </c>
      <c r="X19" s="12">
        <f>Budget!X17</f>
        <v/>
      </c>
      <c r="Y19" s="12">
        <f>Budget!Y17</f>
        <v/>
      </c>
      <c r="Z19" s="12">
        <f>Budget!Z17</f>
        <v/>
      </c>
      <c r="AA19" s="12">
        <f>Budget!AA17</f>
        <v/>
      </c>
      <c r="AB19" s="12">
        <f>Budget!AB17</f>
        <v/>
      </c>
      <c r="AC19" s="12">
        <f>Budget!AC17</f>
        <v/>
      </c>
      <c r="AD19" s="12">
        <f>Budget!AD17</f>
        <v/>
      </c>
      <c r="AE19" s="12">
        <f>Budget!AE17</f>
        <v/>
      </c>
      <c r="AF19" s="12">
        <f>Budget!AF17</f>
        <v/>
      </c>
      <c r="AG19" s="12">
        <f>Budget!AG17</f>
        <v/>
      </c>
      <c r="AH19" s="12">
        <f>Budget!AH17</f>
        <v/>
      </c>
      <c r="AI19" s="12">
        <f>Budget!AI17</f>
        <v/>
      </c>
      <c r="AJ19" s="12">
        <f>Budget!AJ17</f>
        <v/>
      </c>
      <c r="AK19" s="12">
        <f>Budget!AK17</f>
        <v/>
      </c>
    </row>
    <row r="20">
      <c r="A20" s="5" t="inlineStr">
        <is>
          <t>Inkoop DC laders</t>
        </is>
      </c>
      <c r="B20" s="12">
        <f>Budget!B18</f>
        <v/>
      </c>
      <c r="C20" s="12">
        <f>Budget!C18</f>
        <v/>
      </c>
      <c r="D20" s="12">
        <f>Budget!D18</f>
        <v/>
      </c>
      <c r="E20" s="12">
        <f>Budget!E18</f>
        <v/>
      </c>
      <c r="F20" s="12">
        <f>Budget!F18</f>
        <v/>
      </c>
      <c r="G20" s="12">
        <f>Budget!G18</f>
        <v/>
      </c>
      <c r="H20" s="12">
        <f>Budget!H18</f>
        <v/>
      </c>
      <c r="I20" s="12">
        <f>Budget!I18</f>
        <v/>
      </c>
      <c r="J20" s="12">
        <f>Budget!J18</f>
        <v/>
      </c>
      <c r="K20" s="12">
        <f>Budget!K18</f>
        <v/>
      </c>
      <c r="L20" s="12">
        <f>Budget!L18</f>
        <v/>
      </c>
      <c r="M20" s="12">
        <f>Budget!M18</f>
        <v/>
      </c>
      <c r="N20" s="12">
        <f>Budget!N18</f>
        <v/>
      </c>
      <c r="O20" s="12">
        <f>Budget!O18</f>
        <v/>
      </c>
      <c r="P20" s="12">
        <f>Budget!P18</f>
        <v/>
      </c>
      <c r="Q20" s="12">
        <f>Budget!Q18</f>
        <v/>
      </c>
      <c r="R20" s="12">
        <f>Budget!R18</f>
        <v/>
      </c>
      <c r="S20" s="12">
        <f>Budget!S18</f>
        <v/>
      </c>
      <c r="T20" s="12">
        <f>Budget!T18</f>
        <v/>
      </c>
      <c r="U20" s="12">
        <f>Budget!U18</f>
        <v/>
      </c>
      <c r="V20" s="12">
        <f>Budget!V18</f>
        <v/>
      </c>
      <c r="W20" s="12">
        <f>Budget!W18</f>
        <v/>
      </c>
      <c r="X20" s="12">
        <f>Budget!X18</f>
        <v/>
      </c>
      <c r="Y20" s="12">
        <f>Budget!Y18</f>
        <v/>
      </c>
      <c r="Z20" s="12">
        <f>Budget!Z18</f>
        <v/>
      </c>
      <c r="AA20" s="12">
        <f>Budget!AA18</f>
        <v/>
      </c>
      <c r="AB20" s="12">
        <f>Budget!AB18</f>
        <v/>
      </c>
      <c r="AC20" s="12">
        <f>Budget!AC18</f>
        <v/>
      </c>
      <c r="AD20" s="12">
        <f>Budget!AD18</f>
        <v/>
      </c>
      <c r="AE20" s="12">
        <f>Budget!AE18</f>
        <v/>
      </c>
      <c r="AF20" s="12">
        <f>Budget!AF18</f>
        <v/>
      </c>
      <c r="AG20" s="12">
        <f>Budget!AG18</f>
        <v/>
      </c>
      <c r="AH20" s="12">
        <f>Budget!AH18</f>
        <v/>
      </c>
      <c r="AI20" s="12">
        <f>Budget!AI18</f>
        <v/>
      </c>
      <c r="AJ20" s="12">
        <f>Budget!AJ18</f>
        <v/>
      </c>
      <c r="AK20" s="12">
        <f>Budget!AK18</f>
        <v/>
      </c>
    </row>
    <row r="21">
      <c r="A21" s="5" t="inlineStr">
        <is>
          <t>Installatie en logistiek</t>
        </is>
      </c>
      <c r="B21" s="12">
        <f>Budget!B19</f>
        <v/>
      </c>
      <c r="C21" s="12">
        <f>Budget!C19</f>
        <v/>
      </c>
      <c r="D21" s="12">
        <f>Budget!D19</f>
        <v/>
      </c>
      <c r="E21" s="12">
        <f>Budget!E19</f>
        <v/>
      </c>
      <c r="F21" s="12">
        <f>Budget!F19</f>
        <v/>
      </c>
      <c r="G21" s="12">
        <f>Budget!G19</f>
        <v/>
      </c>
      <c r="H21" s="12">
        <f>Budget!H19</f>
        <v/>
      </c>
      <c r="I21" s="12">
        <f>Budget!I19</f>
        <v/>
      </c>
      <c r="J21" s="12">
        <f>Budget!J19</f>
        <v/>
      </c>
      <c r="K21" s="12">
        <f>Budget!K19</f>
        <v/>
      </c>
      <c r="L21" s="12">
        <f>Budget!L19</f>
        <v/>
      </c>
      <c r="M21" s="12">
        <f>Budget!M19</f>
        <v/>
      </c>
      <c r="N21" s="12">
        <f>Budget!N19</f>
        <v/>
      </c>
      <c r="O21" s="12">
        <f>Budget!O19</f>
        <v/>
      </c>
      <c r="P21" s="12">
        <f>Budget!P19</f>
        <v/>
      </c>
      <c r="Q21" s="12">
        <f>Budget!Q19</f>
        <v/>
      </c>
      <c r="R21" s="12">
        <f>Budget!R19</f>
        <v/>
      </c>
      <c r="S21" s="12">
        <f>Budget!S19</f>
        <v/>
      </c>
      <c r="T21" s="12">
        <f>Budget!T19</f>
        <v/>
      </c>
      <c r="U21" s="12">
        <f>Budget!U19</f>
        <v/>
      </c>
      <c r="V21" s="12">
        <f>Budget!V19</f>
        <v/>
      </c>
      <c r="W21" s="12">
        <f>Budget!W19</f>
        <v/>
      </c>
      <c r="X21" s="12">
        <f>Budget!X19</f>
        <v/>
      </c>
      <c r="Y21" s="12">
        <f>Budget!Y19</f>
        <v/>
      </c>
      <c r="Z21" s="12">
        <f>Budget!Z19</f>
        <v/>
      </c>
      <c r="AA21" s="12">
        <f>Budget!AA19</f>
        <v/>
      </c>
      <c r="AB21" s="12">
        <f>Budget!AB19</f>
        <v/>
      </c>
      <c r="AC21" s="12">
        <f>Budget!AC19</f>
        <v/>
      </c>
      <c r="AD21" s="12">
        <f>Budget!AD19</f>
        <v/>
      </c>
      <c r="AE21" s="12">
        <f>Budget!AE19</f>
        <v/>
      </c>
      <c r="AF21" s="12">
        <f>Budget!AF19</f>
        <v/>
      </c>
      <c r="AG21" s="12">
        <f>Budget!AG19</f>
        <v/>
      </c>
      <c r="AH21" s="12">
        <f>Budget!AH19</f>
        <v/>
      </c>
      <c r="AI21" s="12">
        <f>Budget!AI19</f>
        <v/>
      </c>
      <c r="AJ21" s="12">
        <f>Budget!AJ19</f>
        <v/>
      </c>
      <c r="AK21" s="12">
        <f>Budget!AK19</f>
        <v/>
      </c>
    </row>
    <row r="22">
      <c r="A22" s="5" t="inlineStr">
        <is>
          <t>Personeel</t>
        </is>
      </c>
      <c r="B22" s="12">
        <f>Budget!B20</f>
        <v/>
      </c>
      <c r="C22" s="12">
        <f>Budget!C20</f>
        <v/>
      </c>
      <c r="D22" s="12">
        <f>Budget!D20</f>
        <v/>
      </c>
      <c r="E22" s="12">
        <f>Budget!E20</f>
        <v/>
      </c>
      <c r="F22" s="12">
        <f>Budget!F20</f>
        <v/>
      </c>
      <c r="G22" s="12">
        <f>Budget!G20</f>
        <v/>
      </c>
      <c r="H22" s="12">
        <f>Budget!H20</f>
        <v/>
      </c>
      <c r="I22" s="12">
        <f>Budget!I20</f>
        <v/>
      </c>
      <c r="J22" s="12">
        <f>Budget!J20</f>
        <v/>
      </c>
      <c r="K22" s="12">
        <f>Budget!K20</f>
        <v/>
      </c>
      <c r="L22" s="12">
        <f>Budget!L20</f>
        <v/>
      </c>
      <c r="M22" s="12">
        <f>Budget!M20</f>
        <v/>
      </c>
      <c r="N22" s="12">
        <f>Budget!N20</f>
        <v/>
      </c>
      <c r="O22" s="12">
        <f>Budget!O20</f>
        <v/>
      </c>
      <c r="P22" s="12">
        <f>Budget!P20</f>
        <v/>
      </c>
      <c r="Q22" s="12">
        <f>Budget!Q20</f>
        <v/>
      </c>
      <c r="R22" s="12">
        <f>Budget!R20</f>
        <v/>
      </c>
      <c r="S22" s="12">
        <f>Budget!S20</f>
        <v/>
      </c>
      <c r="T22" s="12">
        <f>Budget!T20</f>
        <v/>
      </c>
      <c r="U22" s="12">
        <f>Budget!U20</f>
        <v/>
      </c>
      <c r="V22" s="12">
        <f>Budget!V20</f>
        <v/>
      </c>
      <c r="W22" s="12">
        <f>Budget!W20</f>
        <v/>
      </c>
      <c r="X22" s="12">
        <f>Budget!X20</f>
        <v/>
      </c>
      <c r="Y22" s="12">
        <f>Budget!Y20</f>
        <v/>
      </c>
      <c r="Z22" s="12">
        <f>Budget!Z20</f>
        <v/>
      </c>
      <c r="AA22" s="12">
        <f>Budget!AA20</f>
        <v/>
      </c>
      <c r="AB22" s="12">
        <f>Budget!AB20</f>
        <v/>
      </c>
      <c r="AC22" s="12">
        <f>Budget!AC20</f>
        <v/>
      </c>
      <c r="AD22" s="12">
        <f>Budget!AD20</f>
        <v/>
      </c>
      <c r="AE22" s="12">
        <f>Budget!AE20</f>
        <v/>
      </c>
      <c r="AF22" s="12">
        <f>Budget!AF20</f>
        <v/>
      </c>
      <c r="AG22" s="12">
        <f>Budget!AG20</f>
        <v/>
      </c>
      <c r="AH22" s="12">
        <f>Budget!AH20</f>
        <v/>
      </c>
      <c r="AI22" s="12">
        <f>Budget!AI20</f>
        <v/>
      </c>
      <c r="AJ22" s="12">
        <f>Budget!AJ20</f>
        <v/>
      </c>
      <c r="AK22" s="12">
        <f>Budget!AK20</f>
        <v/>
      </c>
    </row>
    <row r="23">
      <c r="A23" s="5" t="inlineStr">
        <is>
          <t>Marketing en sales</t>
        </is>
      </c>
      <c r="B23" s="12">
        <f>Budget!B21</f>
        <v/>
      </c>
      <c r="C23" s="12">
        <f>Budget!C21</f>
        <v/>
      </c>
      <c r="D23" s="12">
        <f>Budget!D21</f>
        <v/>
      </c>
      <c r="E23" s="12">
        <f>Budget!E21</f>
        <v/>
      </c>
      <c r="F23" s="12">
        <f>Budget!F21</f>
        <v/>
      </c>
      <c r="G23" s="12">
        <f>Budget!G21</f>
        <v/>
      </c>
      <c r="H23" s="12">
        <f>Budget!H21</f>
        <v/>
      </c>
      <c r="I23" s="12">
        <f>Budget!I21</f>
        <v/>
      </c>
      <c r="J23" s="12">
        <f>Budget!J21</f>
        <v/>
      </c>
      <c r="K23" s="12">
        <f>Budget!K21</f>
        <v/>
      </c>
      <c r="L23" s="12">
        <f>Budget!L21</f>
        <v/>
      </c>
      <c r="M23" s="12">
        <f>Budget!M21</f>
        <v/>
      </c>
      <c r="N23" s="12">
        <f>Budget!N21</f>
        <v/>
      </c>
      <c r="O23" s="12">
        <f>Budget!O21</f>
        <v/>
      </c>
      <c r="P23" s="12">
        <f>Budget!P21</f>
        <v/>
      </c>
      <c r="Q23" s="12">
        <f>Budget!Q21</f>
        <v/>
      </c>
      <c r="R23" s="12">
        <f>Budget!R21</f>
        <v/>
      </c>
      <c r="S23" s="12">
        <f>Budget!S21</f>
        <v/>
      </c>
      <c r="T23" s="12">
        <f>Budget!T21</f>
        <v/>
      </c>
      <c r="U23" s="12">
        <f>Budget!U21</f>
        <v/>
      </c>
      <c r="V23" s="12">
        <f>Budget!V21</f>
        <v/>
      </c>
      <c r="W23" s="12">
        <f>Budget!W21</f>
        <v/>
      </c>
      <c r="X23" s="12">
        <f>Budget!X21</f>
        <v/>
      </c>
      <c r="Y23" s="12">
        <f>Budget!Y21</f>
        <v/>
      </c>
      <c r="Z23" s="12">
        <f>Budget!Z21</f>
        <v/>
      </c>
      <c r="AA23" s="12">
        <f>Budget!AA21</f>
        <v/>
      </c>
      <c r="AB23" s="12">
        <f>Budget!AB21</f>
        <v/>
      </c>
      <c r="AC23" s="12">
        <f>Budget!AC21</f>
        <v/>
      </c>
      <c r="AD23" s="12">
        <f>Budget!AD21</f>
        <v/>
      </c>
      <c r="AE23" s="12">
        <f>Budget!AE21</f>
        <v/>
      </c>
      <c r="AF23" s="12">
        <f>Budget!AF21</f>
        <v/>
      </c>
      <c r="AG23" s="12">
        <f>Budget!AG21</f>
        <v/>
      </c>
      <c r="AH23" s="12">
        <f>Budget!AH21</f>
        <v/>
      </c>
      <c r="AI23" s="12">
        <f>Budget!AI21</f>
        <v/>
      </c>
      <c r="AJ23" s="12">
        <f>Budget!AJ21</f>
        <v/>
      </c>
      <c r="AK23" s="12">
        <f>Budget!AK21</f>
        <v/>
      </c>
    </row>
    <row r="24">
      <c r="A24" s="5" t="inlineStr">
        <is>
          <t>Kantoor en operations</t>
        </is>
      </c>
      <c r="B24" s="12">
        <f>Budget!B22</f>
        <v/>
      </c>
      <c r="C24" s="12">
        <f>Budget!C22</f>
        <v/>
      </c>
      <c r="D24" s="12">
        <f>Budget!D22</f>
        <v/>
      </c>
      <c r="E24" s="12">
        <f>Budget!E22</f>
        <v/>
      </c>
      <c r="F24" s="12">
        <f>Budget!F22</f>
        <v/>
      </c>
      <c r="G24" s="12">
        <f>Budget!G22</f>
        <v/>
      </c>
      <c r="H24" s="12">
        <f>Budget!H22</f>
        <v/>
      </c>
      <c r="I24" s="12">
        <f>Budget!I22</f>
        <v/>
      </c>
      <c r="J24" s="12">
        <f>Budget!J22</f>
        <v/>
      </c>
      <c r="K24" s="12">
        <f>Budget!K22</f>
        <v/>
      </c>
      <c r="L24" s="12">
        <f>Budget!L22</f>
        <v/>
      </c>
      <c r="M24" s="12">
        <f>Budget!M22</f>
        <v/>
      </c>
      <c r="N24" s="12">
        <f>Budget!N22</f>
        <v/>
      </c>
      <c r="O24" s="12">
        <f>Budget!O22</f>
        <v/>
      </c>
      <c r="P24" s="12">
        <f>Budget!P22</f>
        <v/>
      </c>
      <c r="Q24" s="12">
        <f>Budget!Q22</f>
        <v/>
      </c>
      <c r="R24" s="12">
        <f>Budget!R22</f>
        <v/>
      </c>
      <c r="S24" s="12">
        <f>Budget!S22</f>
        <v/>
      </c>
      <c r="T24" s="12">
        <f>Budget!T22</f>
        <v/>
      </c>
      <c r="U24" s="12">
        <f>Budget!U22</f>
        <v/>
      </c>
      <c r="V24" s="12">
        <f>Budget!V22</f>
        <v/>
      </c>
      <c r="W24" s="12">
        <f>Budget!W22</f>
        <v/>
      </c>
      <c r="X24" s="12">
        <f>Budget!X22</f>
        <v/>
      </c>
      <c r="Y24" s="12">
        <f>Budget!Y22</f>
        <v/>
      </c>
      <c r="Z24" s="12">
        <f>Budget!Z22</f>
        <v/>
      </c>
      <c r="AA24" s="12">
        <f>Budget!AA22</f>
        <v/>
      </c>
      <c r="AB24" s="12">
        <f>Budget!AB22</f>
        <v/>
      </c>
      <c r="AC24" s="12">
        <f>Budget!AC22</f>
        <v/>
      </c>
      <c r="AD24" s="12">
        <f>Budget!AD22</f>
        <v/>
      </c>
      <c r="AE24" s="12">
        <f>Budget!AE22</f>
        <v/>
      </c>
      <c r="AF24" s="12">
        <f>Budget!AF22</f>
        <v/>
      </c>
      <c r="AG24" s="12">
        <f>Budget!AG22</f>
        <v/>
      </c>
      <c r="AH24" s="12">
        <f>Budget!AH22</f>
        <v/>
      </c>
      <c r="AI24" s="12">
        <f>Budget!AI22</f>
        <v/>
      </c>
      <c r="AJ24" s="12">
        <f>Budget!AJ22</f>
        <v/>
      </c>
      <c r="AK24" s="12">
        <f>Budget!AK22</f>
        <v/>
      </c>
    </row>
    <row r="25">
      <c r="A25" s="5" t="inlineStr">
        <is>
          <t>Software, tools en IT</t>
        </is>
      </c>
      <c r="B25" s="12">
        <f>Budget!B23</f>
        <v/>
      </c>
      <c r="C25" s="12">
        <f>Budget!C23</f>
        <v/>
      </c>
      <c r="D25" s="12">
        <f>Budget!D23</f>
        <v/>
      </c>
      <c r="E25" s="12">
        <f>Budget!E23</f>
        <v/>
      </c>
      <c r="F25" s="12">
        <f>Budget!F23</f>
        <v/>
      </c>
      <c r="G25" s="12">
        <f>Budget!G23</f>
        <v/>
      </c>
      <c r="H25" s="12">
        <f>Budget!H23</f>
        <v/>
      </c>
      <c r="I25" s="12">
        <f>Budget!I23</f>
        <v/>
      </c>
      <c r="J25" s="12">
        <f>Budget!J23</f>
        <v/>
      </c>
      <c r="K25" s="12">
        <f>Budget!K23</f>
        <v/>
      </c>
      <c r="L25" s="12">
        <f>Budget!L23</f>
        <v/>
      </c>
      <c r="M25" s="12">
        <f>Budget!M23</f>
        <v/>
      </c>
      <c r="N25" s="12">
        <f>Budget!N23</f>
        <v/>
      </c>
      <c r="O25" s="12">
        <f>Budget!O23</f>
        <v/>
      </c>
      <c r="P25" s="12">
        <f>Budget!P23</f>
        <v/>
      </c>
      <c r="Q25" s="12">
        <f>Budget!Q23</f>
        <v/>
      </c>
      <c r="R25" s="12">
        <f>Budget!R23</f>
        <v/>
      </c>
      <c r="S25" s="12">
        <f>Budget!S23</f>
        <v/>
      </c>
      <c r="T25" s="12">
        <f>Budget!T23</f>
        <v/>
      </c>
      <c r="U25" s="12">
        <f>Budget!U23</f>
        <v/>
      </c>
      <c r="V25" s="12">
        <f>Budget!V23</f>
        <v/>
      </c>
      <c r="W25" s="12">
        <f>Budget!W23</f>
        <v/>
      </c>
      <c r="X25" s="12">
        <f>Budget!X23</f>
        <v/>
      </c>
      <c r="Y25" s="12">
        <f>Budget!Y23</f>
        <v/>
      </c>
      <c r="Z25" s="12">
        <f>Budget!Z23</f>
        <v/>
      </c>
      <c r="AA25" s="12">
        <f>Budget!AA23</f>
        <v/>
      </c>
      <c r="AB25" s="12">
        <f>Budget!AB23</f>
        <v/>
      </c>
      <c r="AC25" s="12">
        <f>Budget!AC23</f>
        <v/>
      </c>
      <c r="AD25" s="12">
        <f>Budget!AD23</f>
        <v/>
      </c>
      <c r="AE25" s="12">
        <f>Budget!AE23</f>
        <v/>
      </c>
      <c r="AF25" s="12">
        <f>Budget!AF23</f>
        <v/>
      </c>
      <c r="AG25" s="12">
        <f>Budget!AG23</f>
        <v/>
      </c>
      <c r="AH25" s="12">
        <f>Budget!AH23</f>
        <v/>
      </c>
      <c r="AI25" s="12">
        <f>Budget!AI23</f>
        <v/>
      </c>
      <c r="AJ25" s="12">
        <f>Budget!AJ23</f>
        <v/>
      </c>
      <c r="AK25" s="12">
        <f>Budget!AK23</f>
        <v/>
      </c>
    </row>
    <row r="26">
      <c r="A26" s="5" t="inlineStr">
        <is>
          <t>Verzekeringen</t>
        </is>
      </c>
      <c r="B26" s="12">
        <f>Budget!B24</f>
        <v/>
      </c>
      <c r="C26" s="12">
        <f>Budget!C24</f>
        <v/>
      </c>
      <c r="D26" s="12">
        <f>Budget!D24</f>
        <v/>
      </c>
      <c r="E26" s="12">
        <f>Budget!E24</f>
        <v/>
      </c>
      <c r="F26" s="12">
        <f>Budget!F24</f>
        <v/>
      </c>
      <c r="G26" s="12">
        <f>Budget!G24</f>
        <v/>
      </c>
      <c r="H26" s="12">
        <f>Budget!H24</f>
        <v/>
      </c>
      <c r="I26" s="12">
        <f>Budget!I24</f>
        <v/>
      </c>
      <c r="J26" s="12">
        <f>Budget!J24</f>
        <v/>
      </c>
      <c r="K26" s="12">
        <f>Budget!K24</f>
        <v/>
      </c>
      <c r="L26" s="12">
        <f>Budget!L24</f>
        <v/>
      </c>
      <c r="M26" s="12">
        <f>Budget!M24</f>
        <v/>
      </c>
      <c r="N26" s="12">
        <f>Budget!N24</f>
        <v/>
      </c>
      <c r="O26" s="12">
        <f>Budget!O24</f>
        <v/>
      </c>
      <c r="P26" s="12">
        <f>Budget!P24</f>
        <v/>
      </c>
      <c r="Q26" s="12">
        <f>Budget!Q24</f>
        <v/>
      </c>
      <c r="R26" s="12">
        <f>Budget!R24</f>
        <v/>
      </c>
      <c r="S26" s="12">
        <f>Budget!S24</f>
        <v/>
      </c>
      <c r="T26" s="12">
        <f>Budget!T24</f>
        <v/>
      </c>
      <c r="U26" s="12">
        <f>Budget!U24</f>
        <v/>
      </c>
      <c r="V26" s="12">
        <f>Budget!V24</f>
        <v/>
      </c>
      <c r="W26" s="12">
        <f>Budget!W24</f>
        <v/>
      </c>
      <c r="X26" s="12">
        <f>Budget!X24</f>
        <v/>
      </c>
      <c r="Y26" s="12">
        <f>Budget!Y24</f>
        <v/>
      </c>
      <c r="Z26" s="12">
        <f>Budget!Z24</f>
        <v/>
      </c>
      <c r="AA26" s="12">
        <f>Budget!AA24</f>
        <v/>
      </c>
      <c r="AB26" s="12">
        <f>Budget!AB24</f>
        <v/>
      </c>
      <c r="AC26" s="12">
        <f>Budget!AC24</f>
        <v/>
      </c>
      <c r="AD26" s="12">
        <f>Budget!AD24</f>
        <v/>
      </c>
      <c r="AE26" s="12">
        <f>Budget!AE24</f>
        <v/>
      </c>
      <c r="AF26" s="12">
        <f>Budget!AF24</f>
        <v/>
      </c>
      <c r="AG26" s="12">
        <f>Budget!AG24</f>
        <v/>
      </c>
      <c r="AH26" s="12">
        <f>Budget!AH24</f>
        <v/>
      </c>
      <c r="AI26" s="12">
        <f>Budget!AI24</f>
        <v/>
      </c>
      <c r="AJ26" s="12">
        <f>Budget!AJ24</f>
        <v/>
      </c>
      <c r="AK26" s="12">
        <f>Budget!AK24</f>
        <v/>
      </c>
    </row>
    <row r="27">
      <c r="A27" s="5" t="inlineStr">
        <is>
          <t>Onvoorzien</t>
        </is>
      </c>
      <c r="B27" s="12">
        <f>Budget!B25</f>
        <v/>
      </c>
      <c r="C27" s="12">
        <f>Budget!C25</f>
        <v/>
      </c>
      <c r="D27" s="12">
        <f>Budget!D25</f>
        <v/>
      </c>
      <c r="E27" s="12">
        <f>Budget!E25</f>
        <v/>
      </c>
      <c r="F27" s="12">
        <f>Budget!F25</f>
        <v/>
      </c>
      <c r="G27" s="12">
        <f>Budget!G25</f>
        <v/>
      </c>
      <c r="H27" s="12">
        <f>Budget!H25</f>
        <v/>
      </c>
      <c r="I27" s="12">
        <f>Budget!I25</f>
        <v/>
      </c>
      <c r="J27" s="12">
        <f>Budget!J25</f>
        <v/>
      </c>
      <c r="K27" s="12">
        <f>Budget!K25</f>
        <v/>
      </c>
      <c r="L27" s="12">
        <f>Budget!L25</f>
        <v/>
      </c>
      <c r="M27" s="12">
        <f>Budget!M25</f>
        <v/>
      </c>
      <c r="N27" s="12">
        <f>Budget!N25</f>
        <v/>
      </c>
      <c r="O27" s="12">
        <f>Budget!O25</f>
        <v/>
      </c>
      <c r="P27" s="12">
        <f>Budget!P25</f>
        <v/>
      </c>
      <c r="Q27" s="12">
        <f>Budget!Q25</f>
        <v/>
      </c>
      <c r="R27" s="12">
        <f>Budget!R25</f>
        <v/>
      </c>
      <c r="S27" s="12">
        <f>Budget!S25</f>
        <v/>
      </c>
      <c r="T27" s="12">
        <f>Budget!T25</f>
        <v/>
      </c>
      <c r="U27" s="12">
        <f>Budget!U25</f>
        <v/>
      </c>
      <c r="V27" s="12">
        <f>Budget!V25</f>
        <v/>
      </c>
      <c r="W27" s="12">
        <f>Budget!W25</f>
        <v/>
      </c>
      <c r="X27" s="12">
        <f>Budget!X25</f>
        <v/>
      </c>
      <c r="Y27" s="12">
        <f>Budget!Y25</f>
        <v/>
      </c>
      <c r="Z27" s="12">
        <f>Budget!Z25</f>
        <v/>
      </c>
      <c r="AA27" s="12">
        <f>Budget!AA25</f>
        <v/>
      </c>
      <c r="AB27" s="12">
        <f>Budget!AB25</f>
        <v/>
      </c>
      <c r="AC27" s="12">
        <f>Budget!AC25</f>
        <v/>
      </c>
      <c r="AD27" s="12">
        <f>Budget!AD25</f>
        <v/>
      </c>
      <c r="AE27" s="12">
        <f>Budget!AE25</f>
        <v/>
      </c>
      <c r="AF27" s="12">
        <f>Budget!AF25</f>
        <v/>
      </c>
      <c r="AG27" s="12">
        <f>Budget!AG25</f>
        <v/>
      </c>
      <c r="AH27" s="12">
        <f>Budget!AH25</f>
        <v/>
      </c>
      <c r="AI27" s="12">
        <f>Budget!AI25</f>
        <v/>
      </c>
      <c r="AJ27" s="12">
        <f>Budget!AJ25</f>
        <v/>
      </c>
      <c r="AK27" s="12">
        <f>Budget!AK25</f>
        <v/>
      </c>
    </row>
    <row r="28">
      <c r="A28" s="14" t="inlineStr">
        <is>
          <t>TOTALE UITGAVEN</t>
        </is>
      </c>
      <c r="B28" s="15">
        <f>SUM(B18:B27)</f>
        <v/>
      </c>
      <c r="C28" s="15">
        <f>SUM(C18:C27)</f>
        <v/>
      </c>
      <c r="D28" s="15">
        <f>SUM(D18:D27)</f>
        <v/>
      </c>
      <c r="E28" s="15">
        <f>SUM(E18:E27)</f>
        <v/>
      </c>
      <c r="F28" s="15">
        <f>SUM(F18:F27)</f>
        <v/>
      </c>
      <c r="G28" s="15">
        <f>SUM(G18:G27)</f>
        <v/>
      </c>
      <c r="H28" s="15">
        <f>SUM(H18:H27)</f>
        <v/>
      </c>
      <c r="I28" s="15">
        <f>SUM(I18:I27)</f>
        <v/>
      </c>
      <c r="J28" s="15">
        <f>SUM(J18:J27)</f>
        <v/>
      </c>
      <c r="K28" s="15">
        <f>SUM(K18:K27)</f>
        <v/>
      </c>
      <c r="L28" s="15">
        <f>SUM(L18:L27)</f>
        <v/>
      </c>
      <c r="M28" s="15">
        <f>SUM(M18:M27)</f>
        <v/>
      </c>
      <c r="N28" s="15">
        <f>SUM(N18:N27)</f>
        <v/>
      </c>
      <c r="O28" s="15">
        <f>SUM(O18:O27)</f>
        <v/>
      </c>
      <c r="P28" s="15">
        <f>SUM(P18:P27)</f>
        <v/>
      </c>
      <c r="Q28" s="15">
        <f>SUM(Q18:Q27)</f>
        <v/>
      </c>
      <c r="R28" s="15">
        <f>SUM(R18:R27)</f>
        <v/>
      </c>
      <c r="S28" s="15">
        <f>SUM(S18:S27)</f>
        <v/>
      </c>
      <c r="T28" s="15">
        <f>SUM(T18:T27)</f>
        <v/>
      </c>
      <c r="U28" s="15">
        <f>SUM(U18:U27)</f>
        <v/>
      </c>
      <c r="V28" s="15">
        <f>SUM(V18:V27)</f>
        <v/>
      </c>
      <c r="W28" s="15">
        <f>SUM(W18:W27)</f>
        <v/>
      </c>
      <c r="X28" s="15">
        <f>SUM(X18:X27)</f>
        <v/>
      </c>
      <c r="Y28" s="15">
        <f>SUM(Y18:Y27)</f>
        <v/>
      </c>
      <c r="Z28" s="15">
        <f>SUM(Z18:Z27)</f>
        <v/>
      </c>
      <c r="AA28" s="15">
        <f>SUM(AA18:AA27)</f>
        <v/>
      </c>
      <c r="AB28" s="15">
        <f>SUM(AB18:AB27)</f>
        <v/>
      </c>
      <c r="AC28" s="15">
        <f>SUM(AC18:AC27)</f>
        <v/>
      </c>
      <c r="AD28" s="15">
        <f>SUM(AD18:AD27)</f>
        <v/>
      </c>
      <c r="AE28" s="15">
        <f>SUM(AE18:AE27)</f>
        <v/>
      </c>
      <c r="AF28" s="15">
        <f>SUM(AF18:AF27)</f>
        <v/>
      </c>
      <c r="AG28" s="15">
        <f>SUM(AG18:AG27)</f>
        <v/>
      </c>
      <c r="AH28" s="15">
        <f>SUM(AH18:AH27)</f>
        <v/>
      </c>
      <c r="AI28" s="15">
        <f>SUM(AI18:AI27)</f>
        <v/>
      </c>
      <c r="AJ28" s="15">
        <f>SUM(AJ18:AJ27)</f>
        <v/>
      </c>
      <c r="AK28" s="15">
        <f>SUM(AK18:AK27)</f>
        <v/>
      </c>
    </row>
    <row r="29"/>
    <row r="30">
      <c r="A30" s="3" t="inlineStr">
        <is>
          <t>BTW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</row>
    <row r="31">
      <c r="A31" s="5" t="inlineStr">
        <is>
          <t>BTW op verkopen</t>
        </is>
      </c>
      <c r="B31" s="12">
        <f>Aannames!B48*B15</f>
        <v/>
      </c>
      <c r="C31" s="12">
        <f>Aannames!B48*C15</f>
        <v/>
      </c>
      <c r="D31" s="12">
        <f>Aannames!B48*D15</f>
        <v/>
      </c>
      <c r="E31" s="12">
        <f>Aannames!B48*E15</f>
        <v/>
      </c>
      <c r="F31" s="12">
        <f>Aannames!B48*F15</f>
        <v/>
      </c>
      <c r="G31" s="12">
        <f>Aannames!B48*G15</f>
        <v/>
      </c>
      <c r="H31" s="12">
        <f>Aannames!B48*H15</f>
        <v/>
      </c>
      <c r="I31" s="12">
        <f>Aannames!B48*I15</f>
        <v/>
      </c>
      <c r="J31" s="12">
        <f>Aannames!B48*J15</f>
        <v/>
      </c>
      <c r="K31" s="12">
        <f>Aannames!B48*K15</f>
        <v/>
      </c>
      <c r="L31" s="12">
        <f>Aannames!B48*L15</f>
        <v/>
      </c>
      <c r="M31" s="12">
        <f>Aannames!B48*M15</f>
        <v/>
      </c>
      <c r="N31" s="12">
        <f>Aannames!B48*N15</f>
        <v/>
      </c>
      <c r="O31" s="12">
        <f>Aannames!B48*O15</f>
        <v/>
      </c>
      <c r="P31" s="12">
        <f>Aannames!B48*P15</f>
        <v/>
      </c>
      <c r="Q31" s="12">
        <f>Aannames!B48*Q15</f>
        <v/>
      </c>
      <c r="R31" s="12">
        <f>Aannames!B48*R15</f>
        <v/>
      </c>
      <c r="S31" s="12">
        <f>Aannames!B48*S15</f>
        <v/>
      </c>
      <c r="T31" s="12">
        <f>Aannames!B48*T15</f>
        <v/>
      </c>
      <c r="U31" s="12">
        <f>Aannames!B48*U15</f>
        <v/>
      </c>
      <c r="V31" s="12">
        <f>Aannames!B48*V15</f>
        <v/>
      </c>
      <c r="W31" s="12">
        <f>Aannames!B48*W15</f>
        <v/>
      </c>
      <c r="X31" s="12">
        <f>Aannames!B48*X15</f>
        <v/>
      </c>
      <c r="Y31" s="12">
        <f>Aannames!B48*Y15</f>
        <v/>
      </c>
      <c r="Z31" s="12">
        <f>Aannames!B48*Z15</f>
        <v/>
      </c>
      <c r="AA31" s="12">
        <f>Aannames!B48*AA15</f>
        <v/>
      </c>
      <c r="AB31" s="12">
        <f>Aannames!B48*AB15</f>
        <v/>
      </c>
      <c r="AC31" s="12">
        <f>Aannames!B48*AC15</f>
        <v/>
      </c>
      <c r="AD31" s="12">
        <f>Aannames!B48*AD15</f>
        <v/>
      </c>
      <c r="AE31" s="12">
        <f>Aannames!B48*AE15</f>
        <v/>
      </c>
      <c r="AF31" s="12">
        <f>Aannames!B48*AF15</f>
        <v/>
      </c>
      <c r="AG31" s="12">
        <f>Aannames!B48*AG15</f>
        <v/>
      </c>
      <c r="AH31" s="12">
        <f>Aannames!B48*AH15</f>
        <v/>
      </c>
      <c r="AI31" s="12">
        <f>Aannames!B48*AI15</f>
        <v/>
      </c>
      <c r="AJ31" s="12">
        <f>Aannames!B48*AJ15</f>
        <v/>
      </c>
      <c r="AK31" s="12">
        <f>Aannames!B48*AK15</f>
        <v/>
      </c>
    </row>
    <row r="32">
      <c r="A32" s="5" t="inlineStr">
        <is>
          <t>BTW op inkopen (hardware)</t>
        </is>
      </c>
      <c r="B32" s="12">
        <f>Aannames!B48*(B18+B19+B20+B21)</f>
        <v/>
      </c>
      <c r="C32" s="12">
        <f>Aannames!B48*(C18+C19+C20+C21)</f>
        <v/>
      </c>
      <c r="D32" s="12">
        <f>Aannames!B48*(D18+D19+D20+D21)</f>
        <v/>
      </c>
      <c r="E32" s="12">
        <f>Aannames!B48*(E18+E19+E20+E21)</f>
        <v/>
      </c>
      <c r="F32" s="12">
        <f>Aannames!B48*(F18+F19+F20+F21)</f>
        <v/>
      </c>
      <c r="G32" s="12">
        <f>Aannames!B48*(G18+G19+G20+G21)</f>
        <v/>
      </c>
      <c r="H32" s="12">
        <f>Aannames!B48*(H18+H19+H20+H21)</f>
        <v/>
      </c>
      <c r="I32" s="12">
        <f>Aannames!B48*(I18+I19+I20+I21)</f>
        <v/>
      </c>
      <c r="J32" s="12">
        <f>Aannames!B48*(J18+J19+J20+J21)</f>
        <v/>
      </c>
      <c r="K32" s="12">
        <f>Aannames!B48*(K18+K19+K20+K21)</f>
        <v/>
      </c>
      <c r="L32" s="12">
        <f>Aannames!B48*(L18+L19+L20+L21)</f>
        <v/>
      </c>
      <c r="M32" s="12">
        <f>Aannames!B48*(M18+M19+M20+M21)</f>
        <v/>
      </c>
      <c r="N32" s="12">
        <f>Aannames!B48*(N18+N19+N20+N21)</f>
        <v/>
      </c>
      <c r="O32" s="12">
        <f>Aannames!B48*(O18+O19+O20+O21)</f>
        <v/>
      </c>
      <c r="P32" s="12">
        <f>Aannames!B48*(P18+P19+P20+P21)</f>
        <v/>
      </c>
      <c r="Q32" s="12">
        <f>Aannames!B48*(Q18+Q19+Q20+Q21)</f>
        <v/>
      </c>
      <c r="R32" s="12">
        <f>Aannames!B48*(R18+R19+R20+R21)</f>
        <v/>
      </c>
      <c r="S32" s="12">
        <f>Aannames!B48*(S18+S19+S20+S21)</f>
        <v/>
      </c>
      <c r="T32" s="12">
        <f>Aannames!B48*(T18+T19+T20+T21)</f>
        <v/>
      </c>
      <c r="U32" s="12">
        <f>Aannames!B48*(U18+U19+U20+U21)</f>
        <v/>
      </c>
      <c r="V32" s="12">
        <f>Aannames!B48*(V18+V19+V20+V21)</f>
        <v/>
      </c>
      <c r="W32" s="12">
        <f>Aannames!B48*(W18+W19+W20+W21)</f>
        <v/>
      </c>
      <c r="X32" s="12">
        <f>Aannames!B48*(X18+X19+X20+X21)</f>
        <v/>
      </c>
      <c r="Y32" s="12">
        <f>Aannames!B48*(Y18+Y19+Y20+Y21)</f>
        <v/>
      </c>
      <c r="Z32" s="12">
        <f>Aannames!B48*(Z18+Z19+Z20+Z21)</f>
        <v/>
      </c>
      <c r="AA32" s="12">
        <f>Aannames!B48*(AA18+AA19+AA20+AA21)</f>
        <v/>
      </c>
      <c r="AB32" s="12">
        <f>Aannames!B48*(AB18+AB19+AB20+AB21)</f>
        <v/>
      </c>
      <c r="AC32" s="12">
        <f>Aannames!B48*(AC18+AC19+AC20+AC21)</f>
        <v/>
      </c>
      <c r="AD32" s="12">
        <f>Aannames!B48*(AD18+AD19+AD20+AD21)</f>
        <v/>
      </c>
      <c r="AE32" s="12">
        <f>Aannames!B48*(AE18+AE19+AE20+AE21)</f>
        <v/>
      </c>
      <c r="AF32" s="12">
        <f>Aannames!B48*(AF18+AF19+AF20+AF21)</f>
        <v/>
      </c>
      <c r="AG32" s="12">
        <f>Aannames!B48*(AG18+AG19+AG20+AG21)</f>
        <v/>
      </c>
      <c r="AH32" s="12">
        <f>Aannames!B48*(AH18+AH19+AH20+AH21)</f>
        <v/>
      </c>
      <c r="AI32" s="12">
        <f>Aannames!B48*(AI18+AI19+AI20+AI21)</f>
        <v/>
      </c>
      <c r="AJ32" s="12">
        <f>Aannames!B48*(AJ18+AJ19+AJ20+AJ21)</f>
        <v/>
      </c>
      <c r="AK32" s="12">
        <f>Aannames!B48*(AK18+AK19+AK20+AK21)</f>
        <v/>
      </c>
    </row>
    <row r="33">
      <c r="A33" s="14" t="inlineStr">
        <is>
          <t>BTW saldo (af te dragen)</t>
        </is>
      </c>
      <c r="B33" s="24">
        <f>B31-B32</f>
        <v/>
      </c>
      <c r="C33" s="24">
        <f>C31-C32</f>
        <v/>
      </c>
      <c r="D33" s="24">
        <f>D31-D32</f>
        <v/>
      </c>
      <c r="E33" s="24">
        <f>E31-E32</f>
        <v/>
      </c>
      <c r="F33" s="24">
        <f>F31-F32</f>
        <v/>
      </c>
      <c r="G33" s="24">
        <f>G31-G32</f>
        <v/>
      </c>
      <c r="H33" s="24">
        <f>H31-H32</f>
        <v/>
      </c>
      <c r="I33" s="24">
        <f>I31-I32</f>
        <v/>
      </c>
      <c r="J33" s="24">
        <f>J31-J32</f>
        <v/>
      </c>
      <c r="K33" s="24">
        <f>K31-K32</f>
        <v/>
      </c>
      <c r="L33" s="24">
        <f>L31-L32</f>
        <v/>
      </c>
      <c r="M33" s="24">
        <f>M31-M32</f>
        <v/>
      </c>
      <c r="N33" s="24">
        <f>N31-N32</f>
        <v/>
      </c>
      <c r="O33" s="24">
        <f>O31-O32</f>
        <v/>
      </c>
      <c r="P33" s="24">
        <f>P31-P32</f>
        <v/>
      </c>
      <c r="Q33" s="24">
        <f>Q31-Q32</f>
        <v/>
      </c>
      <c r="R33" s="24">
        <f>R31-R32</f>
        <v/>
      </c>
      <c r="S33" s="24">
        <f>S31-S32</f>
        <v/>
      </c>
      <c r="T33" s="24">
        <f>T31-T32</f>
        <v/>
      </c>
      <c r="U33" s="24">
        <f>U31-U32</f>
        <v/>
      </c>
      <c r="V33" s="24">
        <f>V31-V32</f>
        <v/>
      </c>
      <c r="W33" s="24">
        <f>W31-W32</f>
        <v/>
      </c>
      <c r="X33" s="24">
        <f>X31-X32</f>
        <v/>
      </c>
      <c r="Y33" s="24">
        <f>Y31-Y32</f>
        <v/>
      </c>
      <c r="Z33" s="24">
        <f>Z31-Z32</f>
        <v/>
      </c>
      <c r="AA33" s="24">
        <f>AA31-AA32</f>
        <v/>
      </c>
      <c r="AB33" s="24">
        <f>AB31-AB32</f>
        <v/>
      </c>
      <c r="AC33" s="24">
        <f>AC31-AC32</f>
        <v/>
      </c>
      <c r="AD33" s="24">
        <f>AD31-AD32</f>
        <v/>
      </c>
      <c r="AE33" s="24">
        <f>AE31-AE32</f>
        <v/>
      </c>
      <c r="AF33" s="24">
        <f>AF31-AF32</f>
        <v/>
      </c>
      <c r="AG33" s="24">
        <f>AG31-AG32</f>
        <v/>
      </c>
      <c r="AH33" s="24">
        <f>AH31-AH32</f>
        <v/>
      </c>
      <c r="AI33" s="24">
        <f>AI31-AI32</f>
        <v/>
      </c>
      <c r="AJ33" s="24">
        <f>AJ31-AJ32</f>
        <v/>
      </c>
      <c r="AK33" s="24">
        <f>AK31-AK32</f>
        <v/>
      </c>
    </row>
    <row r="34"/>
    <row r="35">
      <c r="A35" s="16" t="inlineStr">
        <is>
          <t>NETTO CASHFLOW</t>
        </is>
      </c>
      <c r="B35" s="19">
        <f>B15-B28-B33</f>
        <v/>
      </c>
      <c r="C35" s="19">
        <f>C15-C28-C33</f>
        <v/>
      </c>
      <c r="D35" s="19">
        <f>D15-D28-D33</f>
        <v/>
      </c>
      <c r="E35" s="19">
        <f>E15-E28-E33</f>
        <v/>
      </c>
      <c r="F35" s="19">
        <f>F15-F28-F33</f>
        <v/>
      </c>
      <c r="G35" s="19">
        <f>G15-G28-G33</f>
        <v/>
      </c>
      <c r="H35" s="19">
        <f>H15-H28-H33</f>
        <v/>
      </c>
      <c r="I35" s="19">
        <f>I15-I28-I33</f>
        <v/>
      </c>
      <c r="J35" s="19">
        <f>J15-J28-J33</f>
        <v/>
      </c>
      <c r="K35" s="19">
        <f>K15-K28-K33</f>
        <v/>
      </c>
      <c r="L35" s="19">
        <f>L15-L28-L33</f>
        <v/>
      </c>
      <c r="M35" s="19">
        <f>M15-M28-M33</f>
        <v/>
      </c>
      <c r="N35" s="19">
        <f>N15-N28-N33</f>
        <v/>
      </c>
      <c r="O35" s="19">
        <f>O15-O28-O33</f>
        <v/>
      </c>
      <c r="P35" s="19">
        <f>P15-P28-P33</f>
        <v/>
      </c>
      <c r="Q35" s="19">
        <f>Q15-Q28-Q33</f>
        <v/>
      </c>
      <c r="R35" s="19">
        <f>R15-R28-R33</f>
        <v/>
      </c>
      <c r="S35" s="19">
        <f>S15-S28-S33</f>
        <v/>
      </c>
      <c r="T35" s="19">
        <f>T15-T28-T33</f>
        <v/>
      </c>
      <c r="U35" s="19">
        <f>U15-U28-U33</f>
        <v/>
      </c>
      <c r="V35" s="19">
        <f>V15-V28-V33</f>
        <v/>
      </c>
      <c r="W35" s="19">
        <f>W15-W28-W33</f>
        <v/>
      </c>
      <c r="X35" s="19">
        <f>X15-X28-X33</f>
        <v/>
      </c>
      <c r="Y35" s="19">
        <f>Y15-Y28-Y33</f>
        <v/>
      </c>
      <c r="Z35" s="19">
        <f>Z15-Z28-Z33</f>
        <v/>
      </c>
      <c r="AA35" s="19">
        <f>AA15-AA28-AA33</f>
        <v/>
      </c>
      <c r="AB35" s="19">
        <f>AB15-AB28-AB33</f>
        <v/>
      </c>
      <c r="AC35" s="19">
        <f>AC15-AC28-AC33</f>
        <v/>
      </c>
      <c r="AD35" s="19">
        <f>AD15-AD28-AD33</f>
        <v/>
      </c>
      <c r="AE35" s="19">
        <f>AE15-AE28-AE33</f>
        <v/>
      </c>
      <c r="AF35" s="19">
        <f>AF15-AF28-AF33</f>
        <v/>
      </c>
      <c r="AG35" s="19">
        <f>AG15-AG28-AG33</f>
        <v/>
      </c>
      <c r="AH35" s="19">
        <f>AH15-AH28-AH33</f>
        <v/>
      </c>
      <c r="AI35" s="19">
        <f>AI15-AI28-AI33</f>
        <v/>
      </c>
      <c r="AJ35" s="19">
        <f>AJ15-AJ28-AJ33</f>
        <v/>
      </c>
      <c r="AK35" s="19">
        <f>AK15-AK28-AK33</f>
        <v/>
      </c>
    </row>
    <row r="36">
      <c r="A36" s="20" t="inlineStr">
        <is>
          <t>Cumulatieve cashflow</t>
        </is>
      </c>
      <c r="B36" s="22">
        <f>B3+B35</f>
        <v/>
      </c>
      <c r="C36" s="22">
        <f>B36+C35</f>
        <v/>
      </c>
      <c r="D36" s="22">
        <f>C36+D35</f>
        <v/>
      </c>
      <c r="E36" s="22">
        <f>D36+E35</f>
        <v/>
      </c>
      <c r="F36" s="22">
        <f>E36+F35</f>
        <v/>
      </c>
      <c r="G36" s="22">
        <f>F36+G35</f>
        <v/>
      </c>
      <c r="H36" s="22">
        <f>G36+H35</f>
        <v/>
      </c>
      <c r="I36" s="22">
        <f>H36+I35</f>
        <v/>
      </c>
      <c r="J36" s="22">
        <f>I36+J35</f>
        <v/>
      </c>
      <c r="K36" s="22">
        <f>J36+K35</f>
        <v/>
      </c>
      <c r="L36" s="22">
        <f>K36+L35</f>
        <v/>
      </c>
      <c r="M36" s="22">
        <f>L36+M35</f>
        <v/>
      </c>
      <c r="N36" s="22">
        <f>M36+N35</f>
        <v/>
      </c>
      <c r="O36" s="22">
        <f>N36+O35</f>
        <v/>
      </c>
      <c r="P36" s="22">
        <f>O36+P35</f>
        <v/>
      </c>
      <c r="Q36" s="22">
        <f>P36+Q35</f>
        <v/>
      </c>
      <c r="R36" s="22">
        <f>Q36+R35</f>
        <v/>
      </c>
      <c r="S36" s="22">
        <f>R36+S35</f>
        <v/>
      </c>
      <c r="T36" s="22">
        <f>S36+T35</f>
        <v/>
      </c>
      <c r="U36" s="22">
        <f>T36+U35</f>
        <v/>
      </c>
      <c r="V36" s="22">
        <f>U36+V35</f>
        <v/>
      </c>
      <c r="W36" s="22">
        <f>V36+W35</f>
        <v/>
      </c>
      <c r="X36" s="22">
        <f>W36+X35</f>
        <v/>
      </c>
      <c r="Y36" s="22">
        <f>X36+Y35</f>
        <v/>
      </c>
      <c r="Z36" s="22">
        <f>Y36+Z35</f>
        <v/>
      </c>
      <c r="AA36" s="22">
        <f>Z36+AA35</f>
        <v/>
      </c>
      <c r="AB36" s="22">
        <f>AA36+AB35</f>
        <v/>
      </c>
      <c r="AC36" s="22">
        <f>AB36+AC35</f>
        <v/>
      </c>
      <c r="AD36" s="22">
        <f>AC36+AD35</f>
        <v/>
      </c>
      <c r="AE36" s="22">
        <f>AD36+AE35</f>
        <v/>
      </c>
      <c r="AF36" s="22">
        <f>AE36+AF35</f>
        <v/>
      </c>
      <c r="AG36" s="22">
        <f>AF36+AG35</f>
        <v/>
      </c>
      <c r="AH36" s="22">
        <f>AG36+AH35</f>
        <v/>
      </c>
      <c r="AI36" s="22">
        <f>AH36+AI35</f>
        <v/>
      </c>
      <c r="AJ36" s="22">
        <f>AI36+AJ35</f>
        <v/>
      </c>
      <c r="AK36" s="22">
        <f>AJ36+AK35</f>
        <v/>
      </c>
    </row>
    <row r="37">
      <c r="A37" s="25" t="inlineStr">
        <is>
          <t>Kaspositie einde maand</t>
        </is>
      </c>
      <c r="B37" s="26">
        <f>B36</f>
        <v/>
      </c>
      <c r="C37" s="26">
        <f>C36</f>
        <v/>
      </c>
      <c r="D37" s="26">
        <f>D36</f>
        <v/>
      </c>
      <c r="E37" s="26">
        <f>E36</f>
        <v/>
      </c>
      <c r="F37" s="26">
        <f>F36</f>
        <v/>
      </c>
      <c r="G37" s="26">
        <f>G36</f>
        <v/>
      </c>
      <c r="H37" s="26">
        <f>H36</f>
        <v/>
      </c>
      <c r="I37" s="26">
        <f>I36</f>
        <v/>
      </c>
      <c r="J37" s="26">
        <f>J36</f>
        <v/>
      </c>
      <c r="K37" s="26">
        <f>K36</f>
        <v/>
      </c>
      <c r="L37" s="26">
        <f>L36</f>
        <v/>
      </c>
      <c r="M37" s="26">
        <f>M36</f>
        <v/>
      </c>
      <c r="N37" s="26">
        <f>N36</f>
        <v/>
      </c>
      <c r="O37" s="26">
        <f>O36</f>
        <v/>
      </c>
      <c r="P37" s="26">
        <f>P36</f>
        <v/>
      </c>
      <c r="Q37" s="26">
        <f>Q36</f>
        <v/>
      </c>
      <c r="R37" s="26">
        <f>R36</f>
        <v/>
      </c>
      <c r="S37" s="26">
        <f>S36</f>
        <v/>
      </c>
      <c r="T37" s="26">
        <f>T36</f>
        <v/>
      </c>
      <c r="U37" s="26">
        <f>U36</f>
        <v/>
      </c>
      <c r="V37" s="26">
        <f>V36</f>
        <v/>
      </c>
      <c r="W37" s="26">
        <f>W36</f>
        <v/>
      </c>
      <c r="X37" s="26">
        <f>X36</f>
        <v/>
      </c>
      <c r="Y37" s="26">
        <f>Y36</f>
        <v/>
      </c>
      <c r="Z37" s="26">
        <f>Z36</f>
        <v/>
      </c>
      <c r="AA37" s="26">
        <f>AA36</f>
        <v/>
      </c>
      <c r="AB37" s="26">
        <f>AB36</f>
        <v/>
      </c>
      <c r="AC37" s="26">
        <f>AC36</f>
        <v/>
      </c>
      <c r="AD37" s="26">
        <f>AD36</f>
        <v/>
      </c>
      <c r="AE37" s="26">
        <f>AE36</f>
        <v/>
      </c>
      <c r="AF37" s="26">
        <f>AF36</f>
        <v/>
      </c>
      <c r="AG37" s="26">
        <f>AG36</f>
        <v/>
      </c>
      <c r="AH37" s="26">
        <f>AH36</f>
        <v/>
      </c>
      <c r="AI37" s="26">
        <f>AI36</f>
        <v/>
      </c>
      <c r="AJ37" s="26">
        <f>AJ36</f>
        <v/>
      </c>
      <c r="AK37" s="26">
        <f>AK36</f>
        <v/>
      </c>
    </row>
  </sheetData>
  <mergeCells count="1">
    <mergeCell ref="A1:A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HES Dashboard 2026-2029</t>
        </is>
      </c>
    </row>
    <row r="2"/>
    <row r="3">
      <c r="A3" s="3" t="inlineStr">
        <is>
          <t>Kerncijfers</t>
        </is>
      </c>
      <c r="B3" s="4" t="n"/>
    </row>
    <row r="4">
      <c r="A4" s="5" t="inlineStr">
        <is>
          <t>Omzet 2026 (5 mnd)</t>
        </is>
      </c>
      <c r="B4" s="23">
        <f>Budget!B13+C13+D13+E13+F13</f>
        <v/>
      </c>
    </row>
    <row r="5">
      <c r="A5" s="5" t="inlineStr">
        <is>
          <t>Kosten 2026 (5 mnd)</t>
        </is>
      </c>
      <c r="B5" s="23">
        <f>Budget!B26+C26+D26+E26+F26</f>
        <v/>
      </c>
    </row>
    <row r="6">
      <c r="A6" s="5" t="inlineStr">
        <is>
          <t>Resultaat 2026 (5 mnd)</t>
        </is>
      </c>
      <c r="B6" s="22">
        <f>Budget!B28+C28+D28+E28+F28</f>
        <v/>
      </c>
    </row>
    <row r="7">
      <c r="A7" s="5" t="inlineStr">
        <is>
          <t>Omzet 2027</t>
        </is>
      </c>
      <c r="B7" s="23">
        <f>Budget!G13+H13+I13+J13+K13+L13+M13+N13+O13+P13+Q13+R13</f>
        <v/>
      </c>
    </row>
    <row r="8">
      <c r="A8" s="5" t="inlineStr">
        <is>
          <t>Kosten 2027</t>
        </is>
      </c>
      <c r="B8" s="23">
        <f>Budget!G26+H26+I26+J26+K26+L26+M26+N26+O26+P26+Q26+R26</f>
        <v/>
      </c>
    </row>
    <row r="9">
      <c r="A9" s="5" t="inlineStr">
        <is>
          <t>Resultaat 2027</t>
        </is>
      </c>
      <c r="B9" s="22">
        <f>Budget!G28+H28+I28+J28+K28+L28+M28+N28+O28+P28+Q28+R28</f>
        <v/>
      </c>
    </row>
    <row r="10">
      <c r="A10" s="5" t="inlineStr">
        <is>
          <t>Omzet 2028</t>
        </is>
      </c>
      <c r="B10" s="23">
        <f>Budget!S13+T13+U13+V13+W13+X13+Y13+Z13+AA13+AB13+AC13+AD13</f>
        <v/>
      </c>
    </row>
    <row r="11">
      <c r="A11" s="5" t="inlineStr">
        <is>
          <t>Kosten 2028</t>
        </is>
      </c>
      <c r="B11" s="23">
        <f>Budget!S26+T26+U26+V26+W26+X26+Y26+Z26+AA26+AB26+AC26+AD26</f>
        <v/>
      </c>
    </row>
    <row r="12">
      <c r="A12" s="5" t="inlineStr">
        <is>
          <t>Resultaat 2028</t>
        </is>
      </c>
      <c r="B12" s="22">
        <f>Budget!S28+T28+U28+V28+W28+X28+Y28+Z28+AA28+AB28+AC28+AD28</f>
        <v/>
      </c>
    </row>
    <row r="13">
      <c r="A13" s="5" t="inlineStr">
        <is>
          <t>Omzet 2029 (7 mnd)</t>
        </is>
      </c>
      <c r="B13" s="23">
        <f>Budget!AE13+AF13+AG13+AH13+AI13+AJ13+AK13</f>
        <v/>
      </c>
    </row>
    <row r="14">
      <c r="A14" s="5" t="inlineStr">
        <is>
          <t>Kosten 2029 (7 mnd)</t>
        </is>
      </c>
      <c r="B14" s="23">
        <f>Budget!AE26+AF26+AG26+AH26+AI26+AJ26+AK26</f>
        <v/>
      </c>
    </row>
    <row r="15">
      <c r="A15" s="5" t="inlineStr">
        <is>
          <t>Resultaat 2029 (7 mnd)</t>
        </is>
      </c>
      <c r="B15" s="22">
        <f>Budget!AE28+AF28+AG28+AH28+AI28+AJ28+AK28</f>
        <v/>
      </c>
    </row>
    <row r="16">
      <c r="A16" s="5" t="inlineStr">
        <is>
          <t>TOTAAL Omzet (3 jaar)</t>
        </is>
      </c>
      <c r="B16" s="23">
        <f>Budget!B13+C13+D13+E13+F13+G13+H13+I13+J13+K13+L13+M13+N13+O13+P13+Q13+R13+S13+T13+U13+V13+W13+X13+Y13+Z13+AA13+AB13+AC13+AD13+AE13+AF13+AG13+AH13+AI13+AJ13+AK13</f>
        <v/>
      </c>
    </row>
    <row r="17">
      <c r="A17" s="5" t="inlineStr">
        <is>
          <t>TOTAAL Kosten (3 jaar)</t>
        </is>
      </c>
      <c r="B17" s="23">
        <f>Budget!B26+C26+D26+E26+F26+G26+H26+I26+J26+K26+L26+M26+N26+O26+P26+Q26+R26+S26+T26+U26+V26+W26+X26+Y26+Z26+AA26+AB26+AC26+AD26+AE26+AF26+AG26+AH26+AI26+AJ26+AK26</f>
        <v/>
      </c>
    </row>
    <row r="18">
      <c r="A18" s="5" t="inlineStr">
        <is>
          <t>TOTAAL Resultaat (3 jaar)</t>
        </is>
      </c>
      <c r="B18" s="22">
        <f>Budget!B28+C28+D28+E28+F28+G28+H28+I28+J28+K28+L28+M28+N28+O28+P28+Q28+R28+S28+T28+U28+V28+W28+X28+Y28+Z28+AA28+AB28+AC28+AD28+AE28+AF28+AG28+AH28+AI28+AJ28+AK28</f>
        <v/>
      </c>
    </row>
    <row r="19">
      <c r="A19" s="5" t="inlineStr">
        <is>
          <t>Gemiddelde marge</t>
        </is>
      </c>
      <c r="B19" s="21">
        <f>AVERAGE(Budget!B29:AM29)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2026-08-03T13:58:26Z</dcterms:created>
  <dcterms:modified xmlns:dcterms="http://purl.org/dc/terms/" xmlns:xsi="http://www.w3.org/2001/XMLSchema-instance" xsi:type="dcterms:W3CDTF">2026-08-04T12:51:10Z</dcterms:modified>
</cp:coreProperties>
</file>